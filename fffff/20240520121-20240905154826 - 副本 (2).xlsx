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2" activeTab="3"/>
  </x:bookViews>
  <x:sheets>
    <x:sheet name="宏1" sheetId="48" state="veryHidden" r:id="rId1"/>
    <x:sheet name="csfX8J" sheetId="47" state="veryHidden" r:id="rId3"/>
    <x:sheet name="机组效率-换算" sheetId="37" r:id="rId6"/>
    <x:sheet name="数据导入" sheetId="35" state="veryHidden" r:id="rId15"/>
  </x:sheets>
  <x:definedNames>
    <x:definedName name="_xlnm.Print_Area" localSheetId="2">'机组效率-换算'!$A$1:$T$51</x:definedName>
    <x:definedName name="_xlnm.Print_Area" localSheetId="3">数据导入!$E$1:$AD$32</x:definedName>
  </x:definedNames>
  <x:calcPr calcId="162913"/>
</x:workbook>
</file>

<file path=xl/calcChain.xml><?xml version="1.0" encoding="utf-8"?>
<x:calcChain xmlns:x="http://schemas.openxmlformats.org/spreadsheetml/2006/main"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<x:sst xmlns:x="http://schemas.openxmlformats.org/spreadsheetml/2006/main">
  <x:si>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</x:si>
  <x:si>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</x:si>
  <x:si>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</x:si>
  <x:si>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</x:si>
  <x:si>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</x:si>
  <x:si>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</x:si>
  <x:si>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</x:si>
  <x:si>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</x:si>
  <x:si>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</x:si>
  <x:si>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</x:si>
  <x:si>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</x:si>
  <x:si>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</x:si>
  <x:si>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</x:si>
  <x:si>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</x:si>
  <x:si>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</x:si>
  <x:si>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</x:si>
  <x:si>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t>%</x:t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</x:si>
  <x:si>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</x:si>
  <x:si>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</x:si>
  <x:si>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</x:si>
  <x:si>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</x:si>
  <x:si>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</x:si>
  <x:si>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</x:si>
  <x:si>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</x:si>
  <x:si>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</x:si>
  <x:si>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</x:si>
  <x:si>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</x:si>
  <x:si>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</x:si>
  <x:si>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</x:si>
  <x:si>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</x:si>
  <x:si>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</x:si>
  <x:si>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</x:si>
  <x:si>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</x:si>
  <x:si>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</x:si>
  <x:si>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</x:si>
  <x:si>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</x:si>
  <x:si>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</x:si>
  <x:si>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</x:si>
  <x:si>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</x:si>
  <x:si>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</x:si>
  <x:si>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</x:si>
  <x:si>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</x:si>
  <x:si>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</x:si>
  <x:si>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</x:si>
  <x:si>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</x:si>
  <x:si>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</x:si>
  <x:si>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</x:si>
  <x:si>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</x:si>
  <x:si>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</x:si>
  <x:si>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</x:si>
  <x:si>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</x:si>
  <x:si>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</x:si>
  <x:si>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</x:si>
  <x:si>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</x:si>
  <x:si>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</x:si>
  <x:si>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</x:si>
  <x:si>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</x:si>
  <x:si>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</x:si>
  <x:si>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</x:si>
  <x:si>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</x:si>
  <x:si>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</x:si>
  <x:si>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</x:si>
  <x:si>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</x:si>
  <x:si>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</x:si>
  <x:si>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t>/</x:t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</x:si>
  <x:si>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</x:si>
  <x:si>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</x:si>
  <x:si>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</x:si>
  <x:si>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</x:si>
  <x:si>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</x:si>
  <x:si>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</x:si>
  <x:si>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</x:si>
  <x:si>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</x:si>
  <x:si>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</x:si>
  <x:si>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</x:si>
  <x:si>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</x:si>
  <x:si>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</x:si>
  <x:si>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</x:si>
  <x:si>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</x:si>
  <x:si>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</x:si>
  <x:si>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</x:si>
  <x:si>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</x:si>
  <x:si>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</x:si>
  <x:si>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</x:si>
  <x:si>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</x:si>
  <x:si>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</x:si>
  <x:si>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</x:si>
  <x:si>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</x:si>
  <x:si>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</x:si>
  <x:si>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</x:si>
  <x:si>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</x:si>
  <x:si>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2024.09.05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</x:si>
  <x:si>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</x:si>
  <x:si>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</x:si>
  <x:si>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</x:si>
  <x:si>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</x:si>
  <x:si>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</x:si>
  <x:si>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</x:si>
  <x:si>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</x:si>
  <x:si>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</x:si>
  <x:si>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</x:si>
  <x:si>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</x:si>
  <x:si>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</x:si>
  <x:si>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</x:si>
  <x:si>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</x:si>
  <x:si>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</x:si>
  <x:si>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</x:si>
  <x:si>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</x:si>
  <x:si>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</x:si>
  <x:si>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</x:si>
  <x:si>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</x:si>
  <x:si>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</x:si>
  <x:si>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</x:si>
  <x:si>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</x:si>
  <x:si>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</x:si>
  <x:si>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</x:si>
  <x:si>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</x:si>
  <x:si>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</x:si>
  <x:si>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</x:si>
  <x:si>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</x:si>
  <x:si>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</x:si>
  <x:si>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</x:si>
  <x:si>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</x:si>
  <x:si>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</x:si>
  <x:si>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</x:si>
  <x:si>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</x:si>
  <x:si>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</x:si>
  <x:si>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</x:si>
  <x:si>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</x:si>
  <x:si>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</x:si>
  <x:si>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</x:si>
  <x:si>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</x:si>
  <x:si>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</x:si>
  <x:si>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</x:si>
  <x:si>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</x:si>
  <x:si>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</x:si>
  <x:si>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</x:si>
  <x:si>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</x:si>
  <x:si>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</x:si>
  <x:si>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</x:si>
  <x:si>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</x:si>
  <x:si>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</x:si>
  <x:si>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</x:si>
  <x:si>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</x:si>
  <x:si>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</x:si>
  <x:si>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</x:si>
  <x:si>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</x:si>
  <x:si>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</x:si>
  <x:si>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</x:si>
  <x:si>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</x:si>
  <x:si>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</x:si>
  <x:si>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</x:si>
  <x:si>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</x:si>
  <x:si>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</x:si>
  <x:si>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</x:si>
  <x:si>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</x:si>
  <x:si>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</x:si>
  <x:si>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</x:si>
  <x:si>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</x:si>
  <x:si>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</x:si>
  <x:si>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</x:si>
  <x:si>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</x:si>
  <x:si>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</x:si>
  <x:si>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</x:si>
  <x:si>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产品名称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</x:si>
  <x:si>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</x:si>
  <x:si>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</x:si>
  <x:si>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</x:si>
  <x:si>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</x:si>
  <x:si>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</x:si>
  <x:si>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抽样基数</x:t>
  </x:si>
  <x:si>
    <x:t>批号1</x:t>
  </x:si>
  <x:si>
    <x:t>效率容差</x:t>
  </x:si>
  <x:si>
    <x:t>制造单位</x:t>
  </x:si>
  <x:si>
    <x:t>制造单位1</x:t>
  </x:si>
  <x:si>
    <x:t>样品数量</x:t>
  </x:si>
  <x:si>
    <x:t>1</x:t>
  </x:si>
  <x:si>
    <x:t>功率容差</x:t>
  </x:si>
  <x:si>
    <x:t>样品状态</x:t>
  </x:si>
  <x:si>
    <x:t>良好</x:t>
  </x:si>
  <x:si>
    <x:t>委托单位</x:t>
  </x:si>
  <x:si>
    <x:t>委托单位1</x:t>
  </x:si>
  <x:si>
    <x:t>燃油消耗率</x:t>
  </x:si>
  <x:si>
    <x:t>抽样地点</x:t>
  </x:si>
  <x:si>
    <x:t>三联</x:t>
  </x:si>
  <x:si>
    <x:t>标准</x:t>
  </x:si>
  <x:si>
    <x:t>GB/T 3216-2016</x:t>
  </x:si>
  <x:si>
    <x:t>检测类别</x:t>
  </x:si>
  <x:si>
    <x:t>[g/(kW.h)]</x:t>
  </x:si>
  <x:si>
    <x:t>抽样人员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</x:si>
  <x:si>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</x:si>
  <x:si>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</x:si>
  <x:si>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</x:si>
  <x:si>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</x:si>
  <x:si>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</x:si>
  <x:si>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</x:si>
  <x:si>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</x:si>
  <x:si>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</x:si>
  <x:si>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抽样日期</x:t>
  </x:si>
  <x:si>
    <x:t>2024.3</x:t>
  </x:si>
  <x:si>
    <x:t>效率判定</x:t>
  </x:si>
  <x:si>
    <x:t>效率合格</x:t>
  </x:si>
  <x:si>
    <x:t>电机电流（A）</x:t>
  </x:si>
  <x:si>
    <x:t>收样日期</x:t>
  </x:si>
  <x:si>
    <x:t>功率判定</x:t>
  </x:si>
  <x:si>
    <x:t>功率合格</x:t>
  </x:si>
  <x:si>
    <x:t>额定机组效率</x:t>
  </x:si>
  <x:si>
    <x:t>生产日期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</x:si>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</x:sst>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340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6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7</x:v>
      </x:c>
      <x:c r="H6" s="453">
        <x:f>IF(数据导入!Q2="","",数据导入!Q2)</x:f>
      </x:c>
      <x:c r="I6" s="453"/>
      <x:c r="J6" s="155" t="s">
        <x:v>8</x:v>
      </x:c>
      <x:c r="K6" s="452"/>
      <x:c r="L6" s="457">
        <x:f>IF(数据导入!AA3="","",数据导入!AA3)</x:f>
      </x:c>
      <x:c r="M6" s="458"/>
      <x:c r="N6" s="459" t="s">
        <x:v>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</x:v>
      </x:c>
    </x:row>
    <x:row r="7" spans="1:24" ht="41.1" customHeight="1" x14ac:dyDescent="0.15">
      <x:c r="A7" s="464" t="s">
        <x:v>11</x:v>
      </x:c>
      <x:c r="B7" s="465"/>
      <x:c r="C7" s="156">
        <x:f>IF(数据导入!L3="","",数据导入!L3)</x:f>
      </x:c>
      <x:c r="D7" s="156"/>
      <x:c r="E7" s="157"/>
      <x:c r="F7" s="158" t="s">
        <x:v>12</x:v>
      </x:c>
      <x:c r="G7" s="159" t="s">
        <x:v>13</x:v>
      </x:c>
      <x:c r="H7" s="157">
        <x:f>IF(数据导入!L4="","",数据导入!L4)</x:f>
      </x:c>
      <x:c r="I7" s="158" t="s">
        <x:v>14</x:v>
      </x:c>
      <x:c r="J7" s="159" t="s">
        <x:v>15</x:v>
      </x:c>
      <x:c r="K7" s="465"/>
      <x:c r="L7" s="157">
        <x:f>IF(数据导入!AI20="","",数据导入!AI20)</x:f>
      </x:c>
      <x:c r="M7" s="181" t="s">
        <x:v>16</x:v>
      </x:c>
      <x:c r="N7" s="459" t="s">
        <x:v>17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16</x:v>
      </x:c>
    </x:row>
    <x:row r="8" spans="1:24" ht="30" customHeight="1" s="151" customFormat="1" x14ac:dyDescent="0.25">
      <x:c r="A8" s="464" t="s">
        <x:v>18</x:v>
      </x:c>
      <x:c r="B8" s="465"/>
      <x:c r="C8" s="156">
        <x:f>IF(数据导入!Q4="","",数据导入!Q4)</x:f>
      </x:c>
      <x:c r="D8" s="156"/>
      <x:c r="E8" s="157"/>
      <x:c r="F8" s="158" t="s">
        <x:v>19</x:v>
      </x:c>
      <x:c r="G8" s="159" t="s">
        <x:v>20</x:v>
      </x:c>
      <x:c r="H8" s="161">
        <x:f>IF(数据导入!L5="","",数据导入!L5)</x:f>
      </x:c>
      <x:c r="I8" s="158" t="s">
        <x:v>21</x:v>
      </x:c>
      <x:c r="J8" s="465" t="s">
        <x:v>22</x:v>
      </x:c>
      <x:c r="K8" s="465"/>
      <x:c r="L8" s="161">
        <x:f>IF(数据导入!V6="","",数据导入!V6)</x:f>
      </x:c>
      <x:c r="M8" s="181" t="s">
        <x:v>23</x:v>
      </x:c>
      <x:c r="N8" s="470" t="s">
        <x:v>24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23</x:v>
      </x:c>
    </x:row>
    <x:row r="9" spans="1:24" ht="30" customHeight="1" x14ac:dyDescent="0.15">
      <x:c r="A9" s="475" t="s">
        <x:v>25</x:v>
      </x:c>
      <x:c r="B9" s="186"/>
      <x:c r="C9" s="692">
        <x:f>IF(数据导入!V4="","",数据导入!V4)</x:f>
      </x:c>
      <x:c r="D9" s="692"/>
      <x:c r="E9" s="693"/>
      <x:c r="F9" s="694" t="s">
        <x:v>14</x:v>
      </x:c>
      <x:c r="G9" s="183" t="s">
        <x:v>26</x:v>
      </x:c>
      <x:c r="H9" s="165">
        <x:f>IF(数据导入!Q5="","",数据导入!Q5*1000)</x:f>
      </x:c>
      <x:c r="I9" s="163" t="s">
        <x:v>27</x:v>
      </x:c>
      <x:c r="J9" s="183" t="s">
        <x:v>28</x:v>
      </x:c>
      <x:c r="K9" s="421"/>
      <x:c r="L9" s="184">
        <x:f>IF(数据导入!V5="","",数据导入!V5)</x:f>
      </x:c>
      <x:c r="M9" s="185" t="s">
        <x:v>29</x:v>
      </x:c>
      <x:c r="N9" s="422" t="s">
        <x:v>30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23</x:v>
      </x:c>
    </x:row>
    <x:row r="10" spans="1:24" ht="30" customHeight="1" x14ac:dyDescent="0.15">
      <x:c r="A10" s="365" t="s">
        <x:v>31</x:v>
      </x:c>
      <x:c r="B10" s="427" t="s">
        <x:v>32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33</x:v>
      </x:c>
      <x:c r="C11" s="695" t="s">
        <x:v>34</x:v>
      </x:c>
      <x:c r="D11" s="434"/>
      <x:c r="E11" s="696" t="s">
        <x:v>35</x:v>
      </x:c>
      <x:c r="F11" s="166"/>
      <x:c r="G11" s="695" t="s">
        <x:v>36</x:v>
      </x:c>
      <x:c r="H11" s="186" t="s">
        <x:v>37</x:v>
      </x:c>
      <x:c r="I11" s="695" t="s">
        <x:v>38</x:v>
      </x:c>
      <x:c r="J11" s="437"/>
      <x:c r="K11" s="207" t="s">
        <x:v>39</x:v>
      </x:c>
      <x:c r="L11" s="697" t="s">
        <x:v>40</x:v>
      </x:c>
      <x:c r="M11" s="438" t="s">
        <x:v>41</x:v>
      </x:c>
      <x:c r="N11" s="439" t="s">
        <x:v>42</x:v>
      </x:c>
      <x:c r="O11" s="695" t="s">
        <x:v>43</x:v>
      </x:c>
      <x:c r="P11" s="698" t="s">
        <x:v>44</x:v>
      </x:c>
      <x:c r="Q11" s="441"/>
      <x:c r="R11" s="442"/>
      <x:c r="S11" s="699" t="s">
        <x:v>45</x:v>
      </x:c>
      <x:c r="T11" s="444"/>
      <x:c r="U11" s="700"/>
      <x:c r="V11" s="701"/>
      <x:c r="W11" s="702"/>
      <x:c r="X11" s="702"/>
    </x:row>
    <x:row r="12" spans="1:24" ht="13.5" customHeight="1" x14ac:dyDescent="0.15">
      <x:c r="A12" s="366"/>
      <x:c r="B12" s="216" t="s">
        <x:v>46</x:v>
      </x:c>
      <x:c r="C12" s="217" t="s">
        <x:v>47</x:v>
      </x:c>
      <x:c r="D12" s="218"/>
      <x:c r="E12" s="409" t="s">
        <x:v>47</x:v>
      </x:c>
      <x:c r="F12" s="216"/>
      <x:c r="G12" s="217" t="s">
        <x:v>48</x:v>
      </x:c>
      <x:c r="H12" s="217" t="s">
        <x:v>49</x:v>
      </x:c>
      <x:c r="I12" s="218" t="s">
        <x:v>50</x:v>
      </x:c>
      <x:c r="J12" s="411"/>
      <x:c r="K12" s="219" t="s">
        <x:v>51</x:v>
      </x:c>
      <x:c r="L12" s="216" t="s">
        <x:v>52</x:v>
      </x:c>
      <x:c r="M12" s="412" t="s">
        <x:v>53</x:v>
      </x:c>
      <x:c r="N12" s="413" t="s">
        <x:v>53</x:v>
      </x:c>
      <x:c r="O12" s="218" t="s">
        <x:v>54</x:v>
      </x:c>
      <x:c r="P12" s="414" t="s">
        <x:v>55</x:v>
      </x:c>
      <x:c r="Q12" s="415"/>
      <x:c r="R12" s="416"/>
      <x:c r="S12" s="218" t="s">
        <x:v>56</x:v>
      </x:c>
      <x:c r="T12" s="417"/>
      <x:c r="U12" s="703"/>
      <x:c r="V12" s="8"/>
      <x:c r="W12" s="704"/>
      <x:c r="X12" s="704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57</x:v>
      </x:c>
      <x:c r="B47" s="373"/>
      <x:c r="C47" s="374" t="s">
        <x:v>58</x:v>
      </x:c>
      <x:c r="D47" s="375"/>
      <x:c r="E47" s="375"/>
      <x:c r="F47" s="376"/>
      <x:c r="G47" s="519" t="s">
        <x:v>59</x:v>
      </x:c>
      <x:c r="H47" s="705"/>
      <x:c r="I47" s="377" t="s">
        <x:v>60</x:v>
      </x:c>
      <x:c r="J47" s="705"/>
      <x:c r="K47" s="705"/>
      <x:c r="L47" s="378" t="s">
        <x:v>61</x:v>
      </x:c>
      <x:c r="M47" s="379"/>
      <x:c r="N47" s="379"/>
      <x:c r="O47" s="379"/>
      <x:c r="P47" s="380" t="s">
        <x:v>62</x:v>
      </x:c>
      <x:c r="Q47" s="381"/>
      <x:c r="R47" s="381"/>
      <x:c r="S47" s="381"/>
      <x:c r="T47" s="382"/>
    </x:row>
    <x:row r="48" spans="1:24" ht="24.9" customHeight="1" x14ac:dyDescent="0.2">
      <x:c r="A48" s="383" t="s">
        <x:v>63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6">
        <x:f>IF(数据导入!G8="","",数据导入!G8)</x:f>
      </x:c>
      <x:c r="J48" s="706"/>
      <x:c r="K48" s="706"/>
      <x:c r="L48" s="388">
        <x:f>数据导入!G9</x:f>
      </x:c>
      <x:c r="M48" s="388"/>
      <x:c r="N48" s="388"/>
      <x:c r="O48" s="388"/>
      <x:c r="P48" s="389" t="s">
        <x:v>64</x:v>
      </x:c>
      <x:c r="Q48" s="389"/>
      <x:c r="R48" s="389"/>
      <x:c r="S48" s="389"/>
      <x:c r="T48" s="390"/>
    </x:row>
    <x:row r="49" spans="1:24" ht="24.9" customHeight="1" x14ac:dyDescent="0.2">
      <x:c r="A49" s="356" t="s">
        <x:v>65</x:v>
      </x:c>
      <x:c r="B49" s="357"/>
      <x:c r="C49" s="358">
        <x:f>数据导入!G16</x:f>
      </x:c>
      <x:c r="D49" s="358"/>
      <x:c r="E49" s="358"/>
      <x:c r="F49" s="359"/>
      <x:c r="G49" s="519" t="s">
        <x:v>66</x:v>
      </x:c>
      <x:c r="H49" s="705"/>
      <x:c r="I49" s="358">
        <x:f>数据导入!G17</x:f>
      </x:c>
      <x:c r="J49" s="358"/>
      <x:c r="K49" s="359"/>
      <x:c r="L49" s="362" t="s">
        <x:v>67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68</x:v>
      </x:c>
      <x:c r="B50" s="368"/>
      <x:c r="C50" s="174"/>
      <x:c r="D50" s="174"/>
      <x:c r="E50" s="175"/>
      <x:c r="F50" s="175"/>
      <x:c r="H50" s="367" t="s">
        <x:v>69</x:v>
      </x:c>
      <x:c r="I50" s="187"/>
      <x:c r="J50" s="187"/>
      <x:c r="K50" s="187"/>
      <x:c r="L50" s="187"/>
      <x:c r="M50" s="367" t="s">
        <x:v>70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71</x:v>
      </x:c>
      <x:c r="D51" s="177"/>
      <x:c r="F51" s="178"/>
      <x:c r="H51" s="294"/>
      <x:c r="I51" s="188" t="s">
        <x:v>72</x:v>
      </x:c>
      <x:c r="J51" s="175"/>
      <x:c r="K51" s="175"/>
      <x:c r="L51" s="175"/>
      <x:c r="M51" s="294"/>
      <x:c r="N51" s="294"/>
      <x:c r="O51" s="294"/>
      <x:c r="P51" s="189" t="s">
        <x:v>73</x:v>
      </x:c>
      <x:c r="U51" s="707"/>
      <x:c r="V51" s="707"/>
      <x:c r="W51" s="707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08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08" customWidth="1"/>
    <x:col min="32" max="32" width="9" style="1" customWidth="1"/>
    <x:col min="33" max="33" width="3.199219" style="708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09"/>
      <x:c r="J1" s="35" t="s">
        <x:v>74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0"/>
      <x:c r="AF1" s="11"/>
      <x:c r="AG1" s="710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09"/>
      <x:c r="J2" s="682" t="s">
        <x:v>75</x:v>
      </x:c>
      <x:c r="K2" s="683"/>
      <x:c r="L2" s="684" t="s">
        <x:v>76</x:v>
      </x:c>
      <x:c r="M2" s="685"/>
      <x:c r="N2" s="685"/>
      <x:c r="O2" s="685"/>
      <x:c r="P2" s="36" t="s">
        <x:v>77</x:v>
      </x:c>
      <x:c r="Q2" s="685" t="s">
        <x:v>78</x:v>
      </x:c>
      <x:c r="R2" s="687"/>
      <x:c r="S2" s="687"/>
      <x:c r="T2" s="683" t="s">
        <x:v>79</x:v>
      </x:c>
      <x:c r="U2" s="683"/>
      <x:c r="V2" s="688" t="s">
        <x:v>80</x:v>
      </x:c>
      <x:c r="W2" s="689"/>
      <x:c r="X2" s="689"/>
      <x:c r="Y2" s="683" t="s">
        <x:v>81</x:v>
      </x:c>
      <x:c r="Z2" s="683"/>
      <x:c r="AA2" s="87">
        <x:v>2</x:v>
      </x:c>
      <x:c r="AB2" s="88" t="s">
        <x:v>14</x:v>
      </x:c>
      <x:c r="AC2" s="89" t="s">
        <x:v>82</x:v>
      </x:c>
      <x:c r="AD2" s="90" t="s">
        <x:v>83</x:v>
      </x:c>
      <x:c r="AE2" s="710"/>
      <x:c r="AF2" s="23">
        <x:f>ROUND(Q4/0.735,1)</x:f>
      </x:c>
      <x:c r="AG2" s="710"/>
      <x:c r="AH2" s="23" t="s">
        <x:v>84</x:v>
      </x:c>
      <x:c r="AI2" s="23"/>
      <x:c r="AJ2" s="101" t="s">
        <x:v>85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09"/>
      <x:c r="J3" s="667" t="s">
        <x:v>86</x:v>
      </x:c>
      <x:c r="K3" s="37"/>
      <x:c r="L3" s="664">
        <x:v>1</x:v>
      </x:c>
      <x:c r="M3" s="665"/>
      <x:c r="N3" s="70" t="s">
        <x:v>87</x:v>
      </x:c>
      <x:c r="O3" s="70"/>
      <x:c r="P3" s="37" t="s">
        <x:v>88</x:v>
      </x:c>
      <x:c r="Q3" s="69">
        <x:v>0</x:v>
      </x:c>
      <x:c r="R3" s="70" t="s">
        <x:v>16</x:v>
      </x:c>
      <x:c r="S3" s="671"/>
      <x:c r="T3" s="37" t="s">
        <x:v>89</x:v>
      </x:c>
      <x:c r="U3" s="37"/>
      <x:c r="V3" s="664">
        <x:v>0</x:v>
      </x:c>
      <x:c r="W3" s="665"/>
      <x:c r="X3" s="71" t="s">
        <x:v>14</x:v>
      </x:c>
      <x:c r="Y3" s="37" t="s">
        <x:v>90</x:v>
      </x:c>
      <x:c r="Z3" s="37"/>
      <x:c r="AA3" s="673" t="s">
        <x:v>91</x:v>
      </x:c>
      <x:c r="AB3" s="690"/>
      <x:c r="AC3" s="690"/>
      <x:c r="AD3" s="691"/>
      <x:c r="AE3" s="710"/>
      <x:c r="AF3" s="23"/>
      <x:c r="AG3" s="710"/>
      <x:c r="AH3" s="11" t="s">
        <x:v>85</x:v>
      </x:c>
      <x:c r="AI3" s="11" t="s">
        <x:v>92</x:v>
      </x:c>
      <x:c r="AJ3" s="101" t="s">
        <x:v>93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94</x:v>
      </x:c>
      <x:c r="G4" s="16"/>
      <x:c r="H4" s="17" t="s">
        <x:v>95</x:v>
      </x:c>
      <x:c r="I4" s="709"/>
      <x:c r="J4" s="667" t="s">
        <x:v>96</x:v>
      </x:c>
      <x:c r="K4" s="37"/>
      <x:c r="L4" s="664">
        <x:v>19</x:v>
      </x:c>
      <x:c r="M4" s="665"/>
      <x:c r="N4" s="70" t="s">
        <x:v>14</x:v>
      </x:c>
      <x:c r="O4" s="70"/>
      <x:c r="P4" s="37" t="s">
        <x:v>97</x:v>
      </x:c>
      <x:c r="Q4" s="69">
        <x:v>0.370000004768372</x:v>
      </x:c>
      <x:c r="R4" s="70" t="s">
        <x:v>19</x:v>
      </x:c>
      <x:c r="S4" s="671" t="s">
        <x:v>19</x:v>
      </x:c>
      <x:c r="T4" s="38" t="s">
        <x:v>98</x:v>
      </x:c>
      <x:c r="U4" s="38"/>
      <x:c r="V4" s="664">
        <x:v>0</x:v>
      </x:c>
      <x:c r="W4" s="665"/>
      <x:c r="X4" s="70" t="s">
        <x:v>14</x:v>
      </x:c>
      <x:c r="Y4" s="37" t="s">
        <x:v>99</x:v>
      </x:c>
      <x:c r="Z4" s="37"/>
      <x:c r="AA4" s="673" t="s">
        <x:v>100</x:v>
      </x:c>
      <x:c r="AB4" s="69"/>
      <x:c r="AC4" s="69"/>
      <x:c r="AD4" s="675"/>
      <x:c r="AE4" s="710"/>
      <x:c r="AF4" s="23"/>
      <x:c r="AG4" s="710"/>
      <x:c r="AH4" s="11" t="s">
        <x:v>93</x:v>
      </x:c>
      <x:c r="AI4" s="17" t="s">
        <x:v>101</x:v>
      </x:c>
      <x:c r="AJ4" s="101" t="s">
        <x:v>102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103</x:v>
      </x:c>
      <x:c r="G5" s="18">
        <x:v>0.62</x:v>
      </x:c>
      <x:c r="H5" s="17" t="s">
        <x:v>95</x:v>
      </x:c>
      <x:c r="I5" s="709"/>
      <x:c r="J5" s="667" t="s">
        <x:v>104</x:v>
      </x:c>
      <x:c r="K5" s="37"/>
      <x:c r="L5" s="664">
        <x:v>2900</x:v>
      </x:c>
      <x:c r="M5" s="665"/>
      <x:c r="N5" s="70" t="s">
        <x:v>21</x:v>
      </x:c>
      <x:c r="O5" s="70"/>
      <x:c r="P5" s="38" t="s">
        <x:v>105</x:v>
      </x:c>
      <x:c r="Q5" s="72">
        <x:v>0.101000003516674</x:v>
      </x:c>
      <x:c r="R5" s="70" t="s">
        <x:v>106</x:v>
      </x:c>
      <x:c r="S5" s="70"/>
      <x:c r="T5" s="38" t="s">
        <x:v>107</x:v>
      </x:c>
      <x:c r="U5" s="38"/>
      <x:c r="V5" s="676">
        <x:v>0</x:v>
      </x:c>
      <x:c r="W5" s="677"/>
      <x:c r="X5" s="71" t="s">
        <x:v>29</x:v>
      </x:c>
      <x:c r="Y5" s="37" t="s">
        <x:v>108</x:v>
      </x:c>
      <x:c r="Z5" s="37"/>
      <x:c r="AA5" s="677">
        <x:v>23</x:v>
      </x:c>
      <x:c r="AB5" s="677"/>
      <x:c r="AC5" s="70" t="s">
        <x:v>23</x:v>
      </x:c>
      <x:c r="AD5" s="680"/>
      <x:c r="AE5" s="710"/>
      <x:c r="AF5" s="23"/>
      <x:c r="AG5" s="710"/>
      <x:c r="AH5" s="11" t="s">
        <x:v>102</x:v>
      </x:c>
      <x:c r="AI5" s="17" t="s">
        <x:v>109</x:v>
      </x:c>
      <x:c r="AJ5" s="101" t="s">
        <x:v>110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111</x:v>
      </x:c>
      <x:c r="G6" s="16"/>
      <x:c r="H6" s="17" t="s">
        <x:v>95</x:v>
      </x:c>
      <x:c r="I6" s="709"/>
      <x:c r="J6" s="657" t="s">
        <x:v>112</x:v>
      </x:c>
      <x:c r="K6" s="658"/>
      <x:c r="L6" s="659">
        <x:v>380</x:v>
      </x:c>
      <x:c r="M6" s="39"/>
      <x:c r="N6" s="661" t="s">
        <x:v>113</x:v>
      </x:c>
      <x:c r="O6" s="661"/>
      <x:c r="P6" s="40" t="s">
        <x:v>114</x:v>
      </x:c>
      <x:c r="Q6" s="39">
        <x:v>50</x:v>
      </x:c>
      <x:c r="R6" s="661" t="s">
        <x:v>115</x:v>
      </x:c>
      <x:c r="S6" s="662"/>
      <x:c r="T6" s="38" t="s">
        <x:v>116</x:v>
      </x:c>
      <x:c r="U6" s="38"/>
      <x:c r="V6" s="664">
        <x:v>25</x:v>
      </x:c>
      <x:c r="W6" s="665"/>
      <x:c r="X6" s="70" t="s">
        <x:v>23</x:v>
      </x:c>
      <x:c r="Y6" s="38" t="s">
        <x:v>117</x:v>
      </x:c>
      <x:c r="Z6" s="38"/>
      <x:c r="AA6" s="664">
        <x:v>25</x:v>
      </x:c>
      <x:c r="AB6" s="665"/>
      <x:c r="AC6" s="661" t="s">
        <x:v>23</x:v>
      </x:c>
      <x:c r="AD6" s="666"/>
      <x:c r="AE6" s="710"/>
      <x:c r="AF6" s="23"/>
      <x:c r="AG6" s="710"/>
      <x:c r="AH6" s="11" t="s">
        <x:v>110</x:v>
      </x:c>
      <x:c r="AI6" s="17" t="s">
        <x:v>118</x:v>
      </x:c>
      <x:c r="AJ6" s="101" t="s">
        <x:v>119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120</x:v>
      </x:c>
      <x:c r="G7" s="18">
        <x:v>18.411</x:v>
      </x:c>
      <x:c r="H7" s="17" t="s">
        <x:v>14</x:v>
      </x:c>
      <x:c r="I7" s="709"/>
      <x:c r="J7" s="41" t="s">
        <x:v>121</x:v>
      </x:c>
      <x:c r="K7" s="621" t="s">
        <x:v>122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123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0"/>
      <x:c r="AF7" s="23"/>
      <x:c r="AG7" s="710"/>
      <x:c r="AH7" s="11" t="s">
        <x:v>119</x:v>
      </x:c>
      <x:c r="AI7" s="17" t="s">
        <x:v>124</x:v>
      </x:c>
      <x:c r="AJ7" s="101" t="s">
        <x:v>125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126</x:v>
      </x:c>
      <x:c r="G8" s="20">
        <x:v>28.74</x:v>
      </x:c>
      <x:c r="H8" s="17" t="s">
        <x:v>16</x:v>
      </x:c>
      <x:c r="I8" s="709"/>
      <x:c r="J8" s="603"/>
      <x:c r="K8" s="42" t="s">
        <x:v>127</x:v>
      </x:c>
      <x:c r="L8" s="43" t="s">
        <x:v>128</x:v>
      </x:c>
      <x:c r="M8" s="42" t="s">
        <x:v>129</x:v>
      </x:c>
      <x:c r="N8" s="43" t="s">
        <x:v>130</x:v>
      </x:c>
      <x:c r="O8" s="42" t="s">
        <x:v>131</x:v>
      </x:c>
      <x:c r="P8" s="43" t="s">
        <x:v>132</x:v>
      </x:c>
      <x:c r="Q8" s="42" t="s">
        <x:v>133</x:v>
      </x:c>
      <x:c r="R8" s="73" t="s">
        <x:v>134</x:v>
      </x:c>
      <x:c r="S8" s="74" t="s">
        <x:v>135</x:v>
      </x:c>
      <x:c r="T8" s="259" t="s">
        <x:v>136</x:v>
      </x:c>
      <x:c r="U8" s="260" t="s">
        <x:v>137</x:v>
      </x:c>
      <x:c r="V8" s="649" t="s">
        <x:v>128</x:v>
      </x:c>
      <x:c r="W8" s="650"/>
      <x:c r="X8" s="651" t="s">
        <x:v>138</x:v>
      </x:c>
      <x:c r="Y8" s="652"/>
      <x:c r="Z8" s="651" t="s">
        <x:v>134</x:v>
      </x:c>
      <x:c r="AA8" s="652"/>
      <x:c r="AB8" s="649" t="s">
        <x:v>139</x:v>
      </x:c>
      <x:c r="AC8" s="650"/>
      <x:c r="AD8" s="92" t="s">
        <x:v>140</x:v>
      </x:c>
      <x:c r="AE8" s="710"/>
      <x:c r="AF8" s="31" t="s">
        <x:v>128</x:v>
      </x:c>
      <x:c r="AG8" s="710"/>
      <x:c r="AH8" s="11" t="s">
        <x:v>125</x:v>
      </x:c>
      <x:c r="AI8" s="17" t="s">
        <x:v>141</x:v>
      </x:c>
      <x:c r="AJ8" s="101" t="s">
        <x:v>142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143</x:v>
      </x:c>
      <x:c r="G9" s="20">
        <x:v>0.17</x:v>
      </x:c>
      <x:c r="H9" s="23" t="s">
        <x:v>144</x:v>
      </x:c>
      <x:c r="I9" s="709"/>
      <x:c r="J9" s="604"/>
      <x:c r="K9" s="44" t="s">
        <x:v>145</x:v>
      </x:c>
      <x:c r="L9" s="45" t="s">
        <x:v>146</x:v>
      </x:c>
      <x:c r="M9" s="44" t="s">
        <x:v>147</x:v>
      </x:c>
      <x:c r="N9" s="45" t="s">
        <x:v>148</x:v>
      </x:c>
      <x:c r="O9" s="44" t="s">
        <x:v>148</x:v>
      </x:c>
      <x:c r="P9" s="45" t="s">
        <x:v>149</x:v>
      </x:c>
      <x:c r="Q9" s="44" t="s">
        <x:v>150</x:v>
      </x:c>
      <x:c r="R9" s="75" t="s">
        <x:v>151</x:v>
      </x:c>
      <x:c r="S9" s="76" t="s">
        <x:v>152</x:v>
      </x:c>
      <x:c r="T9" s="261"/>
      <x:c r="U9" s="262" t="s">
        <x:v>153</x:v>
      </x:c>
      <x:c r="V9" s="653" t="s">
        <x:v>146</x:v>
      </x:c>
      <x:c r="W9" s="654"/>
      <x:c r="X9" s="655" t="s">
        <x:v>154</x:v>
      </x:c>
      <x:c r="Y9" s="656"/>
      <x:c r="Z9" s="655" t="s">
        <x:v>154</x:v>
      </x:c>
      <x:c r="AA9" s="656"/>
      <x:c r="AB9" s="653" t="s">
        <x:v>155</x:v>
      </x:c>
      <x:c r="AC9" s="654"/>
      <x:c r="AD9" s="93" t="s">
        <x:v>155</x:v>
      </x:c>
      <x:c r="AE9" s="710"/>
      <x:c r="AF9" s="31" t="s">
        <x:v>156</x:v>
      </x:c>
      <x:c r="AG9" s="710"/>
      <x:c r="AH9" s="11" t="s">
        <x:v>142</x:v>
      </x:c>
      <x:c r="AI9" s="17" t="s">
        <x:v>157</x:v>
      </x:c>
      <x:c r="AJ9" s="101" t="s">
        <x:v>158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159</x:v>
      </x:c>
      <x:c r="G10" s="11"/>
      <x:c r="H10" s="23" t="s">
        <x:v>144</x:v>
      </x:c>
      <x:c r="I10" s="709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0"/>
      <x:c r="AF10" s="95">
        <x:f>ROUNDDOWN(V25*1.1,0)</x:f>
      </x:c>
      <x:c r="AG10" s="710"/>
      <x:c r="AH10" s="11"/>
      <x:c r="AI10" s="23"/>
      <x:c r="AJ10" s="101" t="s">
        <x:v>160</x:v>
      </x:c>
      <x:c r="AK10" s="23"/>
      <x:c r="AL10" s="23" t="s">
        <x:v>161</x:v>
      </x:c>
      <x:c r="AM10" s="23" t="s">
        <x:v>162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163</x:v>
      </x:c>
      <x:c r="G11" s="11"/>
      <x:c r="H11" s="23" t="s">
        <x:v>21</x:v>
      </x:c>
      <x:c r="I11" s="709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0"/>
      <x:c r="AF11" s="95"/>
      <x:c r="AG11" s="710"/>
      <x:c r="AH11" s="103" t="s">
        <x:v>164</x:v>
      </x:c>
      <x:c r="AI11" s="104">
        <x:f>IF(数据导入!L2="","",数据导入!L2)</x:f>
      </x:c>
      <x:c r="AJ11" s="101" t="s">
        <x:v>162</x:v>
      </x:c>
      <x:c r="AK11" s="23"/>
      <x:c r="AL11" s="105" t="s">
        <x:v>165</x:v>
      </x:c>
      <x:c r="AM11" s="106" t="s">
        <x:v>166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167</x:v>
      </x:c>
      <x:c r="G12" s="23">
        <x:v>0</x:v>
      </x:c>
      <x:c r="H12" s="12" t="s">
        <x:v>19</x:v>
      </x:c>
      <x:c r="I12" s="709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0"/>
      <x:c r="AF12" s="95"/>
      <x:c r="AG12" s="710"/>
      <x:c r="AH12" s="103" t="s">
        <x:v>168</x:v>
      </x:c>
      <x:c r="AI12" s="104">
        <x:f>IF(数据导入!AM19="","",数据导入!AM19)</x:f>
      </x:c>
      <x:c r="AJ12" s="101" t="s">
        <x:v>169</x:v>
      </x:c>
      <x:c r="AK12" s="23"/>
      <x:c r="AL12" s="107" t="s">
        <x:v>170</x:v>
      </x:c>
      <x:c r="AM12" s="108" t="s">
        <x:v>171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172</x:v>
      </x:c>
      <x:c r="G13" s="18"/>
      <x:c r="H13" s="23" t="s">
        <x:v>16</x:v>
      </x:c>
      <x:c r="I13" s="709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0"/>
      <x:c r="AF13" s="95"/>
      <x:c r="AG13" s="710"/>
      <x:c r="AH13" s="103" t="s">
        <x:v>173</x:v>
      </x:c>
      <x:c r="AI13" s="104" t="s">
        <x:v>174</x:v>
      </x:c>
      <x:c r="AJ13" s="100"/>
      <x:c r="AK13" s="23"/>
      <x:c r="AL13" s="107" t="s">
        <x:v>175</x:v>
      </x:c>
      <x:c r="AM13" s="108" t="s">
        <x:v>176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177</x:v>
      </x:c>
      <x:c r="G14" s="18"/>
      <x:c r="H14" s="23" t="s">
        <x:v>16</x:v>
      </x:c>
      <x:c r="I14" s="709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0"/>
      <x:c r="AF14" s="95"/>
      <x:c r="AG14" s="710"/>
      <x:c r="AH14" s="23" t="s">
        <x:v>82</x:v>
      </x:c>
      <x:c r="AI14" s="23" t="s">
        <x:v>83</x:v>
      </x:c>
      <x:c r="AJ14" s="100"/>
      <x:c r="AK14" s="23"/>
      <x:c r="AL14" s="107" t="s">
        <x:v>178</x:v>
      </x:c>
      <x:c r="AM14" s="108" t="s">
        <x:v>179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97</x:v>
      </x:c>
      <x:c r="G15" s="20"/>
      <x:c r="H15" s="23" t="s">
        <x:v>144</x:v>
      </x:c>
      <x:c r="I15" s="711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0"/>
      <x:c r="AF15" s="95"/>
      <x:c r="AG15" s="710"/>
      <x:c r="AH15" s="23" t="s">
        <x:v>180</x:v>
      </x:c>
      <x:c r="AI15" s="23" t="s">
        <x:v>181</x:v>
      </x:c>
      <x:c r="AJ15" s="109" t="s">
        <x:v>182</x:v>
      </x:c>
      <x:c r="AK15" s="23"/>
      <x:c r="AL15" s="107" t="s">
        <x:v>183</x:v>
      </x:c>
      <x:c r="AM15" s="108" t="s">
        <x:v>184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185</x:v>
      </x:c>
      <x:c r="G16" s="12" t="s">
        <x:v>186</x:v>
      </x:c>
      <x:c r="H16" s="23"/>
      <x:c r="I16" s="711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0"/>
      <x:c r="AF16" s="95"/>
      <x:c r="AG16" s="710"/>
      <x:c r="AH16" s="23" t="s">
        <x:v>187</x:v>
      </x:c>
      <x:c r="AI16" s="23" t="s">
        <x:v>176</x:v>
      </x:c>
      <x:c r="AJ16" s="109" t="s">
        <x:v>188</x:v>
      </x:c>
      <x:c r="AK16" s="23"/>
      <x:c r="AL16" s="107" t="s">
        <x:v>189</x:v>
      </x:c>
      <x:c r="AM16" s="108" t="s">
        <x:v>190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191</x:v>
      </x:c>
      <x:c r="G17" s="20" t="s">
        <x:v>192</x:v>
      </x:c>
      <x:c r="H17" s="26"/>
      <x:c r="I17" s="711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0"/>
      <x:c r="AF17" s="95"/>
      <x:c r="AG17" s="710"/>
      <x:c r="AH17" s="9" t="s">
        <x:v>193</x:v>
      </x:c>
      <x:c r="AI17" s="110"/>
      <x:c r="AJ17" s="100"/>
      <x:c r="AK17" s="23"/>
      <x:c r="AL17" s="107" t="s">
        <x:v>194</x:v>
      </x:c>
      <x:c r="AM17" s="108" t="s">
        <x:v>195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196</x:v>
      </x:c>
      <x:c r="G18" s="20" t="s">
        <x:v>93</x:v>
      </x:c>
      <x:c r="H18" s="23"/>
      <x:c r="I18" s="711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0"/>
      <x:c r="AF18" s="95"/>
      <x:c r="AG18" s="710"/>
      <x:c r="AH18" s="9" t="s">
        <x:v>197</x:v>
      </x:c>
      <x:c r="AI18" s="110">
        <x:v>90</x:v>
      </x:c>
      <x:c r="AJ18" s="100"/>
      <x:c r="AK18" s="23"/>
      <x:c r="AL18" s="107" t="s">
        <x:v>198</x:v>
      </x:c>
      <x:c r="AM18" s="108" t="s">
        <x:v>199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200</x:v>
      </x:c>
      <x:c r="G19" s="20" t="s">
        <x:v>201</x:v>
      </x:c>
      <x:c r="H19" s="23"/>
      <x:c r="I19" s="711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0"/>
      <x:c r="AF19" s="95"/>
      <x:c r="AG19" s="710"/>
      <x:c r="AH19" s="9" t="s">
        <x:v>202</x:v>
      </x:c>
      <x:c r="AI19" s="110">
        <x:v>0.699999988079071</x:v>
      </x:c>
      <x:c r="AJ19" s="100"/>
      <x:c r="AK19" s="23"/>
      <x:c r="AL19" s="107" t="s">
        <x:v>203</x:v>
      </x:c>
      <x:c r="AM19" s="108" t="s">
        <x:v>199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204</x:v>
      </x:c>
      <x:c r="G20" s="20" t="s">
        <x:v>205</x:v>
      </x:c>
      <x:c r="H20" s="23"/>
      <x:c r="I20" s="712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0"/>
      <x:c r="AF20" s="95"/>
      <x:c r="AG20" s="710"/>
      <x:c r="AH20" s="9" t="s">
        <x:v>206</x:v>
      </x:c>
      <x:c r="AI20" s="110">
        <x:v>42</x:v>
      </x:c>
      <x:c r="AJ20" s="100"/>
      <x:c r="AK20" s="23"/>
      <x:c r="AL20" s="111" t="s">
        <x:v>207</x:v>
      </x:c>
      <x:c r="AM20" s="112" t="s">
        <x:v>208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209</x:v>
      </x:c>
      <x:c r="F21" s="23">
        <x:v>0.62</x:v>
      </x:c>
      <x:c r="G21" s="23"/>
      <x:c r="H21" s="23"/>
      <x:c r="I21" s="710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0"/>
      <x:c r="AF21" s="95"/>
      <x:c r="AG21" s="710"/>
      <x:c r="AH21" s="9" t="s">
        <x:v>210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211</x:v>
      </x:c>
      <x:c r="F22" s="23">
        <x:v>18.411</x:v>
      </x:c>
      <x:c r="G22" s="23"/>
      <x:c r="H22" s="23"/>
      <x:c r="I22" s="710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0"/>
      <x:c r="AF22" s="95"/>
      <x:c r="AG22" s="710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212</x:v>
      </x:c>
      <x:c r="F23" s="23">
        <x:v>0.17</x:v>
      </x:c>
      <x:c r="G23" s="23"/>
      <x:c r="H23" s="23"/>
      <x:c r="I23" s="710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0"/>
      <x:c r="AF23" s="95"/>
      <x:c r="AG23" s="710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213</x:v>
      </x:c>
      <x:c r="G24" s="23" t="s">
        <x:v>93</x:v>
      </x:c>
      <x:c r="H24" s="23"/>
      <x:c r="I24" s="710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0"/>
      <x:c r="AF24" s="95"/>
      <x:c r="AG24" s="710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08"/>
      <x:c r="B25" s="708"/>
      <x:c r="C25" s="708"/>
      <x:c r="D25" s="708"/>
      <x:c r="E25" s="710"/>
      <x:c r="F25" s="710"/>
      <x:c r="G25" s="710"/>
      <x:c r="H25" s="710"/>
      <x:c r="I25" s="710"/>
      <x:c r="J25" s="31" t="s">
        <x:v>214</x:v>
      </x:c>
      <x:c r="K25" s="710"/>
      <x:c r="L25" s="710"/>
      <x:c r="M25" s="710"/>
      <x:c r="N25" s="710"/>
      <x:c r="O25" s="710"/>
      <x:c r="P25" s="710"/>
      <x:c r="Q25" s="710"/>
      <x:c r="R25" s="710"/>
      <x:c r="S25" s="710"/>
      <x:c r="T25" s="710"/>
      <x:c r="U25" s="710"/>
      <x:c r="V25" s="710"/>
      <x:c r="W25" s="710"/>
      <x:c r="X25" s="710"/>
      <x:c r="Y25" s="710"/>
      <x:c r="Z25" s="710"/>
      <x:c r="AA25" s="710"/>
      <x:c r="AB25" s="710"/>
      <x:c r="AC25" s="710"/>
      <x:c r="AD25" s="710"/>
      <x:c r="AE25" s="710"/>
      <x:c r="AF25" s="713"/>
      <x:c r="AG25" s="710"/>
      <x:c r="AH25" s="710"/>
      <x:c r="AI25" s="710"/>
      <x:c r="AJ25" s="710"/>
      <x:c r="AK25" s="710"/>
      <x:c r="AL25" s="710"/>
      <x:c r="AM25" s="710"/>
      <x:c r="AN25" s="710"/>
      <x:c r="AO25" s="710"/>
      <x:c r="AP25" s="710"/>
      <x:c r="AQ25" s="710"/>
      <x:c r="AR25" s="710"/>
      <x:c r="AS25" s="710"/>
      <x:c r="AT25" s="710"/>
      <x:c r="AU25" s="710"/>
      <x:c r="AV25" s="710"/>
      <x:c r="AW25" s="710"/>
      <x:c r="AX25" s="710"/>
      <x:c r="AY25" s="710"/>
      <x:c r="AZ25" s="710"/>
      <x:c r="BA25" s="710"/>
      <x:c r="BB25" s="710"/>
      <x:c r="BC25" s="710"/>
      <x:c r="BD25" s="710"/>
    </x:row>
    <x:row r="26" spans="1:248" ht="22.2" customHeight="1" x14ac:dyDescent="0.25">
      <x:c r="E26" s="17" t="s">
        <x:v>215</x:v>
      </x:c>
      <x:c r="F26" s="10" t="s">
        <x:v>216</x:v>
      </x:c>
      <x:c r="G26" s="20">
        <x:v>8</x:v>
      </x:c>
      <x:c r="H26" s="17" t="s">
        <x:v>16</x:v>
      </x:c>
      <x:c r="I26" s="710"/>
      <x:c r="J26" s="23"/>
      <x:c r="K26" s="10" t="s">
        <x:v>217</x:v>
      </x:c>
      <x:c r="L26" s="16">
        <x:f>L3</x:f>
      </x:c>
      <x:c r="M26" s="17" t="s">
        <x:v>95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218</x:v>
      </x:c>
      <x:c r="U26" s="20">
        <x:v>8</x:v>
      </x:c>
      <x:c r="V26" s="17" t="s">
        <x:v>16</x:v>
      </x:c>
      <x:c r="W26" s="56"/>
      <x:c r="X26" s="56"/>
      <x:c r="Y26" s="56"/>
      <x:c r="Z26" s="56"/>
      <x:c r="AA26" s="56"/>
      <x:c r="AB26" s="56"/>
      <x:c r="AC26" s="56"/>
      <x:c r="AD26" s="56"/>
      <x:c r="AE26" s="710"/>
      <x:c r="AF26" s="23"/>
      <x:c r="AG26" s="710"/>
      <x:c r="AH26" s="23" t="s">
        <x:v>219</x:v>
      </x:c>
      <x:c r="AI26" s="23" t="s">
        <x:v>220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221</x:v>
      </x:c>
      <x:c r="G27" s="20">
        <x:v>-8</x:v>
      </x:c>
      <x:c r="H27" s="17" t="s">
        <x:v>16</x:v>
      </x:c>
      <x:c r="I27" s="710"/>
      <x:c r="J27" s="23"/>
      <x:c r="K27" s="10" t="s">
        <x:v>222</x:v>
      </x:c>
      <x:c r="L27" s="11">
        <x:f>L$26*(1+G26/100)</x:f>
      </x:c>
      <x:c r="M27" s="17" t="s">
        <x:v>95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223</x:v>
      </x:c>
      <x:c r="U27" s="20">
        <x:v>0</x:v>
      </x:c>
      <x:c r="V27" s="17" t="s">
        <x:v>16</x:v>
      </x:c>
      <x:c r="W27" s="56"/>
      <x:c r="X27" s="56"/>
      <x:c r="Y27" s="56"/>
      <x:c r="Z27" s="56"/>
      <x:c r="AA27" s="56"/>
      <x:c r="AB27" s="56"/>
      <x:c r="AC27" s="56"/>
      <x:c r="AD27" s="56"/>
      <x:c r="AE27" s="710"/>
      <x:c r="AF27" s="23"/>
      <x:c r="AG27" s="710"/>
      <x:c r="AH27" s="23"/>
      <x:c r="AI27" s="23" t="s">
        <x:v>224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0"/>
      <x:c r="J28" s="23"/>
      <x:c r="K28" s="10" t="s">
        <x:v>225</x:v>
      </x:c>
      <x:c r="L28" s="11">
        <x:f>L$26*(1+G27/100)</x:f>
      </x:c>
      <x:c r="M28" s="17" t="s">
        <x:v>95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0"/>
      <x:c r="AF28" s="23"/>
      <x:c r="AG28" s="710"/>
      <x:c r="AH28" s="23"/>
      <x:c r="AI28" s="23" t="s">
        <x:v>226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08"/>
      <x:c r="B29" s="708"/>
      <x:c r="C29" s="708"/>
      <x:c r="D29" s="708"/>
      <x:c r="E29" s="714"/>
      <x:c r="F29" s="710"/>
      <x:c r="G29" s="710"/>
      <x:c r="H29" s="710"/>
      <x:c r="I29" s="710"/>
      <x:c r="J29" s="710"/>
      <x:c r="K29" s="710"/>
      <x:c r="L29" s="710"/>
      <x:c r="M29" s="710"/>
      <x:c r="N29" s="710"/>
      <x:c r="O29" s="710"/>
      <x:c r="P29" s="715" t="s">
        <x:v>227</x:v>
      </x:c>
      <x:c r="Q29" s="715" t="s">
        <x:v>228</x:v>
      </x:c>
      <x:c r="R29" s="710"/>
      <x:c r="S29" s="710"/>
      <x:c r="T29" s="710"/>
      <x:c r="U29" s="710"/>
      <x:c r="V29" s="710"/>
      <x:c r="W29" s="710"/>
      <x:c r="X29" s="710"/>
      <x:c r="Y29" s="710"/>
      <x:c r="Z29" s="710"/>
      <x:c r="AA29" s="710"/>
      <x:c r="AB29" s="710"/>
      <x:c r="AC29" s="710"/>
      <x:c r="AD29" s="710"/>
      <x:c r="AE29" s="710"/>
      <x:c r="AF29" s="713"/>
      <x:c r="AG29" s="710"/>
      <x:c r="AH29" s="710"/>
      <x:c r="AI29" s="710"/>
      <x:c r="AJ29" s="710"/>
      <x:c r="AK29" s="710"/>
      <x:c r="AL29" s="710"/>
      <x:c r="AM29" s="710"/>
      <x:c r="AN29" s="710"/>
      <x:c r="AO29" s="710"/>
      <x:c r="AP29" s="710"/>
      <x:c r="AQ29" s="710"/>
      <x:c r="AR29" s="710"/>
      <x:c r="AS29" s="710"/>
      <x:c r="AT29" s="710"/>
      <x:c r="AU29" s="710"/>
      <x:c r="AV29" s="710"/>
      <x:c r="AW29" s="710"/>
      <x:c r="AX29" s="710"/>
      <x:c r="AY29" s="710"/>
      <x:c r="AZ29" s="710"/>
      <x:c r="BA29" s="710"/>
      <x:c r="BB29" s="710"/>
      <x:c r="BC29" s="710"/>
      <x:c r="BD29" s="710"/>
    </x:row>
    <x:row r="30" spans="1:248" ht="22.2" customHeight="1" x14ac:dyDescent="0.25">
      <x:c r="E30" s="17" t="s">
        <x:v>215</x:v>
      </x:c>
      <x:c r="F30" s="10" t="s">
        <x:v>229</x:v>
      </x:c>
      <x:c r="G30" s="20">
        <x:v>5</x:v>
      </x:c>
      <x:c r="H30" s="17" t="s">
        <x:v>16</x:v>
      </x:c>
      <x:c r="I30" s="710"/>
      <x:c r="J30" s="23"/>
      <x:c r="K30" s="10" t="s">
        <x:v>96</x:v>
      </x:c>
      <x:c r="L30" s="11">
        <x:f>L4</x:f>
      </x:c>
      <x:c r="M30" s="17" t="s">
        <x:v>14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230</x:v>
      </x:c>
      <x:c r="U30" s="20">
        <x:v>0</x:v>
      </x:c>
      <x:c r="V30" s="17" t="s">
        <x:v>16</x:v>
      </x:c>
      <x:c r="W30" s="56"/>
      <x:c r="X30" s="56"/>
      <x:c r="Y30" s="56"/>
      <x:c r="Z30" s="56"/>
      <x:c r="AA30" s="56"/>
      <x:c r="AB30" s="56"/>
      <x:c r="AC30" s="56"/>
      <x:c r="AD30" s="56"/>
      <x:c r="AE30" s="710"/>
      <x:c r="AF30" s="23"/>
      <x:c r="AG30" s="710"/>
      <x:c r="AH30" s="23"/>
      <x:c r="AI30" s="23" t="s">
        <x:v>231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232</x:v>
      </x:c>
      <x:c r="G31" s="20">
        <x:v>-5</x:v>
      </x:c>
      <x:c r="H31" s="17" t="s">
        <x:v>16</x:v>
      </x:c>
      <x:c r="I31" s="710"/>
      <x:c r="J31" s="23"/>
      <x:c r="K31" s="10" t="s">
        <x:v>233</x:v>
      </x:c>
      <x:c r="L31" s="11">
        <x:f>L$30*(1+G30/100)</x:f>
      </x:c>
      <x:c r="M31" s="17" t="s">
        <x:v>14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234</x:v>
      </x:c>
      <x:c r="U31" s="20">
        <x:v>-5</x:v>
      </x:c>
      <x:c r="V31" s="17" t="s">
        <x:v>16</x:v>
      </x:c>
      <x:c r="W31" s="56"/>
      <x:c r="X31" s="56"/>
      <x:c r="Y31" s="56"/>
      <x:c r="Z31" s="56"/>
      <x:c r="AA31" s="56"/>
      <x:c r="AB31" s="56"/>
      <x:c r="AC31" s="56"/>
      <x:c r="AD31" s="56"/>
      <x:c r="AE31" s="710"/>
      <x:c r="AF31" s="23"/>
      <x:c r="AG31" s="710"/>
      <x:c r="AH31" s="23"/>
      <x:c r="AI31" s="23" t="s">
        <x:v>235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0"/>
      <x:c r="J32" s="23"/>
      <x:c r="K32" s="10" t="s">
        <x:v>236</x:v>
      </x:c>
      <x:c r="L32" s="11">
        <x:f>L$30*(1+G31/100)</x:f>
      </x:c>
      <x:c r="M32" s="17" t="s">
        <x:v>14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0"/>
      <x:c r="AF32" s="23"/>
      <x:c r="AG32" s="710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08"/>
      <x:c r="B33" s="708"/>
      <x:c r="C33" s="708"/>
      <x:c r="D33" s="708"/>
      <x:c r="E33" s="714"/>
      <x:c r="F33" s="710"/>
      <x:c r="G33" s="710"/>
      <x:c r="H33" s="710"/>
      <x:c r="I33" s="710"/>
      <x:c r="J33" s="710"/>
      <x:c r="K33" s="710"/>
      <x:c r="L33" s="710"/>
      <x:c r="M33" s="710"/>
      <x:c r="N33" s="710"/>
      <x:c r="O33" s="710"/>
      <x:c r="P33" s="715"/>
      <x:c r="Q33" s="715"/>
      <x:c r="R33" s="710"/>
      <x:c r="S33" s="710"/>
      <x:c r="T33" s="710"/>
      <x:c r="U33" s="710"/>
      <x:c r="V33" s="710"/>
      <x:c r="W33" s="710"/>
      <x:c r="X33" s="710"/>
      <x:c r="Y33" s="710"/>
      <x:c r="Z33" s="710"/>
      <x:c r="AA33" s="710"/>
      <x:c r="AB33" s="710"/>
      <x:c r="AC33" s="710"/>
      <x:c r="AD33" s="710"/>
      <x:c r="AE33" s="710"/>
      <x:c r="AF33" s="713"/>
      <x:c r="AG33" s="710"/>
      <x:c r="AH33" s="710"/>
      <x:c r="AI33" s="710"/>
      <x:c r="AJ33" s="710"/>
      <x:c r="AK33" s="710"/>
      <x:c r="AL33" s="710"/>
      <x:c r="AM33" s="710"/>
      <x:c r="AN33" s="710"/>
      <x:c r="AO33" s="710"/>
      <x:c r="AP33" s="710"/>
      <x:c r="AQ33" s="710"/>
      <x:c r="AR33" s="710"/>
      <x:c r="AS33" s="710"/>
      <x:c r="AT33" s="710"/>
      <x:c r="AU33" s="710"/>
      <x:c r="AV33" s="710"/>
      <x:c r="AW33" s="710"/>
      <x:c r="AX33" s="710"/>
      <x:c r="AY33" s="710"/>
      <x:c r="AZ33" s="710"/>
      <x:c r="BA33" s="710"/>
      <x:c r="BB33" s="710"/>
      <x:c r="BC33" s="710"/>
      <x:c r="BD33" s="710"/>
    </x:row>
    <x:row r="34" spans="1:248" ht="22.2" customHeight="1" x14ac:dyDescent="0.25">
      <x:c r="E34" s="31" t="s">
        <x:v>237</x:v>
      </x:c>
      <x:c r="F34" s="31"/>
      <x:c r="G34" s="32">
        <x:v>50</x:v>
      </x:c>
      <x:c r="H34" s="31" t="s">
        <x:v>16</x:v>
      </x:c>
      <x:c r="I34" s="710"/>
      <x:c r="J34" s="605" t="s">
        <x:v>238</x:v>
      </x:c>
      <x:c r="K34" s="612" t="s">
        <x:v>121</x:v>
      </x:c>
      <x:c r="L34" s="621" t="s">
        <x:v>239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0"/>
      <x:c r="AF34" s="23"/>
      <x:c r="AG34" s="710"/>
      <x:c r="AH34" s="23"/>
      <x:c r="AI34" s="23" t="s">
        <x:v>240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182</x:v>
      </x:c>
      <x:c r="F35" s="31"/>
      <x:c r="G35" s="32">
        <x:v>5</x:v>
      </x:c>
      <x:c r="H35" s="31" t="s">
        <x:v>241</x:v>
      </x:c>
      <x:c r="I35" s="710"/>
      <x:c r="J35" s="51"/>
      <x:c r="K35" s="58"/>
      <x:c r="L35" s="58" t="s">
        <x:v>242</x:v>
      </x:c>
      <x:c r="M35" s="58" t="s">
        <x:v>243</x:v>
      </x:c>
      <x:c r="N35" s="59" t="s">
        <x:v>244</x:v>
      </x:c>
      <x:c r="O35" s="59" t="s">
        <x:v>245</x:v>
      </x:c>
      <x:c r="P35" s="58" t="s">
        <x:v>246</x:v>
      </x:c>
      <x:c r="Q35" s="58" t="s">
        <x:v>247</x:v>
      </x:c>
      <x:c r="R35" s="58" t="s">
        <x:v>248</x:v>
      </x:c>
      <x:c r="S35" s="59" t="s">
        <x:v>249</x:v>
      </x:c>
      <x:c r="T35" s="272" t="s">
        <x:v>250</x:v>
      </x:c>
      <x:c r="U35" s="272" t="s">
        <x:v>251</x:v>
      </x:c>
      <x:c r="V35" s="273" t="s">
        <x:v>252</x:v>
      </x:c>
      <x:c r="W35" s="274" t="s">
        <x:v>253</x:v>
      </x:c>
      <x:c r="X35" s="271" t="s">
        <x:v>254</x:v>
      </x:c>
      <x:c r="Y35" s="271" t="s">
        <x:v>255</x:v>
      </x:c>
      <x:c r="Z35" s="271" t="s">
        <x:v>256</x:v>
      </x:c>
      <x:c r="AA35" s="56" t="s">
        <x:v>257</x:v>
      </x:c>
      <x:c r="AB35" s="56"/>
      <x:c r="AC35" s="56"/>
      <x:c r="AD35" s="97" t="s">
        <x:v>182</x:v>
      </x:c>
      <x:c r="AE35" s="710"/>
      <x:c r="AF35" s="23"/>
      <x:c r="AG35" s="710"/>
      <x:c r="AH35" s="23"/>
      <x:c r="AI35" s="23" t="s">
        <x:v>258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259</x:v>
      </x:c>
      <x:c r="F36" s="637"/>
      <x:c r="G36" s="32">
        <x:v>4</x:v>
      </x:c>
      <x:c r="H36" s="31" t="s">
        <x:v>14</x:v>
      </x:c>
      <x:c r="I36" s="710"/>
      <x:c r="J36" s="607" t="s">
        <x:v>260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261</x:v>
      </x:c>
      <x:c r="AE36" s="710"/>
      <x:c r="AF36" s="23"/>
      <x:c r="AG36" s="710"/>
      <x:c r="AH36" s="23"/>
      <x:c r="AI36" s="23" t="s">
        <x:v>262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263</x:v>
      </x:c>
      <x:c r="F37" s="639"/>
      <x:c r="G37" s="32">
        <x:v>50</x:v>
      </x:c>
      <x:c r="H37" s="31" t="s">
        <x:v>264</x:v>
      </x:c>
      <x:c r="I37" s="710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0"/>
      <x:c r="AF37" s="23"/>
      <x:c r="AG37" s="710"/>
      <x:c r="AH37" s="23"/>
      <x:c r="AI37" s="23" t="s">
        <x:v>265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266</x:v>
      </x:c>
      <x:c r="F38" s="639"/>
      <x:c r="G38" s="32">
        <x:v>3.90000009536743</x:v>
      </x:c>
      <x:c r="H38" s="32" t="s">
        <x:v>14</x:v>
      </x:c>
      <x:c r="I38" s="710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0"/>
      <x:c r="AF38" s="23"/>
      <x:c r="AG38" s="710"/>
      <x:c r="AH38" s="23"/>
      <x:c r="AI38" s="23" t="s">
        <x:v>267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268</x:v>
      </x:c>
      <x:c r="F39" s="639"/>
      <x:c r="G39" s="32">
        <x:v>3</x:v>
      </x:c>
      <x:c r="H39" s="31" t="s">
        <x:v>19</x:v>
      </x:c>
      <x:c r="I39" s="710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0"/>
      <x:c r="AF39" s="23"/>
      <x:c r="AG39" s="710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237</x:v>
      </x:c>
      <x:c r="F40" s="639"/>
      <x:c r="G40" s="32">
        <x:v>50</x:v>
      </x:c>
      <x:c r="H40" s="32" t="s">
        <x:v>16</x:v>
      </x:c>
      <x:c r="I40" s="710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0"/>
      <x:c r="AF40" s="23"/>
      <x:c r="AG40" s="710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0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0"/>
      <x:c r="AF41" s="23"/>
      <x:c r="AG41" s="710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0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0"/>
      <x:c r="AF42" s="23"/>
      <x:c r="AG42" s="710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0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0"/>
      <x:c r="AF43" s="23"/>
      <x:c r="AG43" s="710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0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0"/>
      <x:c r="AF44" s="23"/>
      <x:c r="AG44" s="710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0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0"/>
      <x:c r="AF45" s="23"/>
      <x:c r="AG45" s="710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0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0"/>
      <x:c r="AF46" s="23"/>
      <x:c r="AG46" s="710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0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0"/>
      <x:c r="AF47" s="23"/>
      <x:c r="AG47" s="710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0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0"/>
      <x:c r="AF48" s="23"/>
      <x:c r="AG48" s="710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0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0"/>
      <x:c r="AF49" s="23"/>
      <x:c r="AG49" s="710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0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0"/>
      <x:c r="AF50" s="23"/>
      <x:c r="AG50" s="710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0"/>
      <x:c r="J51" s="66" t="s">
        <x:v>269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14</x:v>
      </x:c>
      <x:c r="T51" s="623" t="s">
        <x:v>270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0"/>
      <x:c r="AF51" s="23"/>
      <x:c r="AG51" s="710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0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0"/>
      <x:c r="AF52" s="23"/>
      <x:c r="AG52" s="710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0"/>
      <x:c r="J53" s="607" t="s">
        <x:v>271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0"/>
      <x:c r="AF53" s="23"/>
      <x:c r="AG53" s="710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0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0"/>
      <x:c r="AF54" s="23"/>
      <x:c r="AG54" s="710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0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0"/>
      <x:c r="AF55" s="23"/>
      <x:c r="AG55" s="710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0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0"/>
      <x:c r="AF56" s="23"/>
      <x:c r="AG56" s="710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0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0"/>
      <x:c r="AF57" s="23"/>
      <x:c r="AG57" s="710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0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0"/>
      <x:c r="AF58" s="23"/>
      <x:c r="AG58" s="710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0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0"/>
      <x:c r="AF59" s="23"/>
      <x:c r="AG59" s="710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0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0"/>
      <x:c r="AF60" s="23"/>
      <x:c r="AG60" s="710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0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0"/>
      <x:c r="AF61" s="23"/>
      <x:c r="AG61" s="710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0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0"/>
      <x:c r="AF62" s="23"/>
      <x:c r="AG62" s="710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0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0"/>
      <x:c r="AF63" s="23"/>
      <x:c r="AG63" s="710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0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0"/>
      <x:c r="AF64" s="23"/>
      <x:c r="AG64" s="710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0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0"/>
      <x:c r="AF65" s="23"/>
      <x:c r="AG65" s="710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0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0"/>
      <x:c r="AF66" s="23"/>
      <x:c r="AG66" s="710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0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0"/>
      <x:c r="AF67" s="23"/>
      <x:c r="AG67" s="710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0"/>
      <x:c r="J68" s="113" t="s">
        <x:v>269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14</x:v>
      </x:c>
      <x:c r="T68" s="623" t="s">
        <x:v>270</x:v>
      </x:c>
      <x:c r="U68" s="624"/>
      <x:c r="V68" s="84" t="s">
        <x:v>93</x:v>
      </x:c>
      <x:c r="W68" s="84"/>
      <x:c r="X68" s="62"/>
      <x:c r="Y68" s="62"/>
      <x:c r="Z68" s="62"/>
      <x:c r="AA68" s="267"/>
      <x:c r="AB68" s="56"/>
      <x:c r="AC68" s="56"/>
      <x:c r="AD68" s="18"/>
      <x:c r="AE68" s="710"/>
      <x:c r="AF68" s="23"/>
      <x:c r="AG68" s="710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0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0"/>
      <x:c r="AF69" s="23"/>
      <x:c r="AG69" s="710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0"/>
      <x:c r="J70" s="607" t="s">
        <x:v>272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0"/>
      <x:c r="AF70" s="23"/>
      <x:c r="AG70" s="710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0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0"/>
      <x:c r="AF71" s="23"/>
      <x:c r="AG71" s="710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0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0"/>
      <x:c r="AF72" s="23"/>
      <x:c r="AG72" s="710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0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0"/>
      <x:c r="AF73" s="23"/>
      <x:c r="AG73" s="710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0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0"/>
      <x:c r="AF74" s="23"/>
      <x:c r="AG74" s="710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0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0"/>
      <x:c r="AF75" s="23"/>
      <x:c r="AG75" s="710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0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0"/>
      <x:c r="AF76" s="23"/>
      <x:c r="AG76" s="710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0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0"/>
      <x:c r="AF77" s="23"/>
      <x:c r="AG77" s="710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0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0"/>
      <x:c r="AF78" s="23"/>
      <x:c r="AG78" s="710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0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0"/>
      <x:c r="AF79" s="23"/>
      <x:c r="AG79" s="710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0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0"/>
      <x:c r="AF80" s="23"/>
      <x:c r="AG80" s="710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0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0"/>
      <x:c r="AF81" s="23"/>
      <x:c r="AG81" s="710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0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0"/>
      <x:c r="AF82" s="23"/>
      <x:c r="AG82" s="710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0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0"/>
      <x:c r="AF83" s="23"/>
      <x:c r="AG83" s="710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0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0"/>
      <x:c r="AF84" s="23"/>
      <x:c r="AG84" s="710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0"/>
      <x:c r="J85" s="114" t="s">
        <x:v>269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14</x:v>
      </x:c>
      <x:c r="T85" s="623" t="s">
        <x:v>270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0"/>
      <x:c r="AF85" s="23"/>
      <x:c r="AG85" s="710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0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0"/>
      <x:c r="AF86" s="23"/>
      <x:c r="AG86" s="710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0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0"/>
      <x:c r="AF87" s="23"/>
      <x:c r="AG87" s="710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0"/>
      <x:c r="J88" s="588" t="s">
        <x:v>273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0"/>
      <x:c r="AF88" s="23"/>
      <x:c r="AG88" s="710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0"/>
      <x:c r="J89" s="591"/>
      <x:c r="K89" s="19"/>
      <x:c r="L89" s="593"/>
      <x:c r="M89" s="115" t="s">
        <x:v>121</x:v>
      </x:c>
      <x:c r="N89" s="628" t="s">
        <x:v>274</x:v>
      </x:c>
      <x:c r="O89" s="629"/>
      <x:c r="P89" s="628" t="s">
        <x:v>275</x:v>
      </x:c>
      <x:c r="Q89" s="629"/>
      <x:c r="R89" s="630" t="s">
        <x:v>263</x:v>
      </x:c>
      <x:c r="S89" s="631"/>
      <x:c r="T89" s="632" t="s">
        <x:v>276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0"/>
      <x:c r="AF89" s="23"/>
      <x:c r="AG89" s="710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0"/>
      <x:c r="J90" s="609" t="s">
        <x:v>277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0"/>
      <x:c r="AF90" s="23"/>
      <x:c r="AG90" s="710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0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0"/>
      <x:c r="AF91" s="23"/>
      <x:c r="AG91" s="710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0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0"/>
      <x:c r="AF92" s="23"/>
      <x:c r="AG92" s="710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0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0"/>
      <x:c r="AF93" s="23"/>
      <x:c r="AG93" s="710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0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0"/>
      <x:c r="AF94" s="23"/>
      <x:c r="AG94" s="710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0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0"/>
      <x:c r="AF95" s="23"/>
      <x:c r="AG95" s="710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0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278</x:v>
      </x:c>
      <x:c r="Z96" s="56"/>
      <x:c r="AA96" s="56"/>
      <x:c r="AB96" s="56"/>
      <x:c r="AC96" s="56"/>
      <x:c r="AD96" s="56"/>
      <x:c r="AE96" s="710"/>
      <x:c r="AF96" s="23"/>
      <x:c r="AG96" s="710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0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0"/>
      <x:c r="AF97" s="23"/>
      <x:c r="AG97" s="710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0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0"/>
      <x:c r="AF98" s="23"/>
      <x:c r="AG98" s="710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0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0"/>
      <x:c r="AF99" s="23"/>
      <x:c r="AG99" s="710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0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0"/>
      <x:c r="AF100" s="23"/>
      <x:c r="AG100" s="710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0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0"/>
      <x:c r="AF101" s="23"/>
      <x:c r="AG101" s="710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0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0"/>
      <x:c r="AF102" s="23"/>
      <x:c r="AG102" s="710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0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0"/>
      <x:c r="AF103" s="23"/>
      <x:c r="AG103" s="710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0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0"/>
      <x:c r="AF104" s="23"/>
      <x:c r="AG104" s="710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0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0"/>
      <x:c r="AF105" s="23"/>
      <x:c r="AG105" s="710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0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0"/>
      <x:c r="AF106" s="23"/>
      <x:c r="AG106" s="710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0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0"/>
      <x:c r="AF107" s="23"/>
      <x:c r="AG107" s="710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0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0"/>
      <x:c r="AF108" s="23"/>
      <x:c r="AG108" s="710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0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0"/>
      <x:c r="AF109" s="23"/>
      <x:c r="AG109" s="710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0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0"/>
      <x:c r="AF110" s="23"/>
      <x:c r="AG110" s="710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0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0"/>
      <x:c r="AF111" s="23"/>
      <x:c r="AG111" s="710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0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0"/>
      <x:c r="AF112" s="23"/>
      <x:c r="AG112" s="710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0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0"/>
      <x:c r="AF113" s="23"/>
      <x:c r="AG113" s="710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0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0"/>
      <x:c r="AF114" s="23"/>
      <x:c r="AG114" s="710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0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0"/>
      <x:c r="AF115" s="23"/>
      <x:c r="AG115" s="710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0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0"/>
      <x:c r="AF116" s="23"/>
      <x:c r="AG116" s="710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0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0"/>
      <x:c r="AF117" s="23"/>
      <x:c r="AG117" s="710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0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0"/>
      <x:c r="AF118" s="23"/>
      <x:c r="AG118" s="710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0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0"/>
      <x:c r="AF119" s="23"/>
      <x:c r="AG119" s="710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0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0"/>
      <x:c r="AF120" s="23"/>
      <x:c r="AG120" s="710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0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0"/>
      <x:c r="AF121" s="23"/>
      <x:c r="AG121" s="710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0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0"/>
      <x:c r="AF122" s="23"/>
      <x:c r="AG122" s="710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0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0"/>
      <x:c r="AF123" s="23"/>
      <x:c r="AG123" s="710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0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0"/>
      <x:c r="AF124" s="23"/>
      <x:c r="AG124" s="710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0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0"/>
      <x:c r="AF125" s="23"/>
      <x:c r="AG125" s="710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0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0"/>
      <x:c r="AF126" s="23"/>
      <x:c r="AG126" s="710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0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0"/>
      <x:c r="AF127" s="23"/>
      <x:c r="AG127" s="710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0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0"/>
      <x:c r="AF128" s="23"/>
      <x:c r="AG128" s="710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0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0"/>
      <x:c r="AF129" s="23"/>
      <x:c r="AG129" s="710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0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0"/>
      <x:c r="AF130" s="23"/>
      <x:c r="AG130" s="710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0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0"/>
      <x:c r="AF131" s="23"/>
      <x:c r="AG131" s="710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0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0"/>
      <x:c r="AF132" s="23"/>
      <x:c r="AG132" s="710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0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0"/>
      <x:c r="AF133" s="23"/>
      <x:c r="AG133" s="710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0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0"/>
      <x:c r="AF134" s="23"/>
      <x:c r="AG134" s="710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0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0"/>
      <x:c r="AF135" s="23"/>
      <x:c r="AG135" s="710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0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0"/>
      <x:c r="AF136" s="23"/>
      <x:c r="AG136" s="710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0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0"/>
      <x:c r="AF137" s="23"/>
      <x:c r="AG137" s="710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0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0"/>
      <x:c r="AF138" s="23"/>
      <x:c r="AG138" s="710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0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0"/>
      <x:c r="AF139" s="23"/>
      <x:c r="AG139" s="710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0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0"/>
      <x:c r="AF140" s="23"/>
      <x:c r="AG140" s="710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0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0"/>
      <x:c r="AF141" s="23"/>
      <x:c r="AG141" s="710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0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0"/>
      <x:c r="AF142" s="23"/>
      <x:c r="AG142" s="710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0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0"/>
      <x:c r="AF143" s="23"/>
      <x:c r="AG143" s="710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0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0"/>
      <x:c r="AF144" s="23"/>
      <x:c r="AG144" s="710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0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0"/>
      <x:c r="AF145" s="23"/>
      <x:c r="AG145" s="710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0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0"/>
      <x:c r="AF146" s="23"/>
      <x:c r="AG146" s="710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0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0"/>
      <x:c r="AF147" s="23"/>
      <x:c r="AG147" s="710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0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0"/>
      <x:c r="AF148" s="23"/>
      <x:c r="AG148" s="710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0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0"/>
      <x:c r="AF149" s="23"/>
      <x:c r="AG149" s="710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0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0"/>
      <x:c r="AF150" s="23"/>
      <x:c r="AG150" s="710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0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0"/>
      <x:c r="AF151" s="23"/>
      <x:c r="AG151" s="710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0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0"/>
      <x:c r="AF152" s="23"/>
      <x:c r="AG152" s="710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0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0"/>
      <x:c r="AF153" s="23"/>
      <x:c r="AG153" s="710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0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0"/>
      <x:c r="AF154" s="23"/>
      <x:c r="AG154" s="710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0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0"/>
      <x:c r="AF155" s="23"/>
      <x:c r="AG155" s="710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0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0"/>
      <x:c r="AF156" s="23"/>
      <x:c r="AG156" s="710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0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0"/>
      <x:c r="AF157" s="23"/>
      <x:c r="AG157" s="710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0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0"/>
      <x:c r="AF158" s="23"/>
      <x:c r="AG158" s="710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0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0"/>
      <x:c r="AF159" s="23"/>
      <x:c r="AG159" s="710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0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0"/>
      <x:c r="AF160" s="23"/>
      <x:c r="AG160" s="710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0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0"/>
      <x:c r="AF161" s="23"/>
      <x:c r="AG161" s="710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0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0"/>
      <x:c r="AF162" s="23"/>
      <x:c r="AG162" s="710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0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0"/>
      <x:c r="AF163" s="23"/>
      <x:c r="AG163" s="710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0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0"/>
      <x:c r="AF164" s="23"/>
      <x:c r="AG164" s="710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0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0"/>
      <x:c r="AF165" s="23"/>
      <x:c r="AG165" s="710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0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0"/>
      <x:c r="AF166" s="23"/>
      <x:c r="AG166" s="710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0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0"/>
      <x:c r="AF167" s="23"/>
      <x:c r="AG167" s="710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0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0"/>
      <x:c r="AF168" s="23"/>
      <x:c r="AG168" s="710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0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0"/>
      <x:c r="AF169" s="23"/>
      <x:c r="AG169" s="710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0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0"/>
      <x:c r="AF170" s="23"/>
      <x:c r="AG170" s="710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0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0"/>
      <x:c r="AF171" s="23"/>
      <x:c r="AG171" s="710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0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0"/>
      <x:c r="AF172" s="23"/>
      <x:c r="AG172" s="710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0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0"/>
      <x:c r="AF173" s="23"/>
      <x:c r="AG173" s="710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0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0"/>
      <x:c r="AF174" s="23"/>
      <x:c r="AG174" s="710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0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0"/>
      <x:c r="AF175" s="23"/>
      <x:c r="AG175" s="710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0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0"/>
      <x:c r="AF176" s="23"/>
      <x:c r="AG176" s="710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0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0"/>
      <x:c r="AF177" s="23"/>
      <x:c r="AG177" s="710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0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0"/>
      <x:c r="AF178" s="23"/>
      <x:c r="AG178" s="710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0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0"/>
      <x:c r="AF179" s="23"/>
      <x:c r="AG179" s="710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0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0"/>
      <x:c r="AF180" s="23"/>
      <x:c r="AG180" s="710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0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0"/>
      <x:c r="AF181" s="23"/>
      <x:c r="AG181" s="710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0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0"/>
      <x:c r="AF182" s="23"/>
      <x:c r="AG182" s="710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0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0"/>
      <x:c r="AF183" s="23"/>
      <x:c r="AG183" s="710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0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0"/>
      <x:c r="AF184" s="23"/>
      <x:c r="AG184" s="710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0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0"/>
      <x:c r="AF185" s="23"/>
      <x:c r="AG185" s="710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0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0"/>
      <x:c r="AF186" s="23"/>
      <x:c r="AG186" s="710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0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0"/>
      <x:c r="AF187" s="23"/>
      <x:c r="AG187" s="710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0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0"/>
      <x:c r="AF188" s="23"/>
      <x:c r="AG188" s="710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0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0"/>
      <x:c r="AF189" s="23"/>
      <x:c r="AG189" s="710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0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0"/>
      <x:c r="AF190" s="23"/>
      <x:c r="AG190" s="710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0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0"/>
      <x:c r="AF191" s="23"/>
      <x:c r="AG191" s="710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0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0"/>
      <x:c r="AF192" s="23"/>
      <x:c r="AG192" s="710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0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0"/>
      <x:c r="AF193" s="23"/>
      <x:c r="AG193" s="710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0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0"/>
      <x:c r="AF194" s="23"/>
      <x:c r="AG194" s="710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0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0"/>
      <x:c r="AF195" s="23"/>
      <x:c r="AG195" s="710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0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0"/>
      <x:c r="AF196" s="23"/>
      <x:c r="AG196" s="710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0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0"/>
      <x:c r="AF197" s="23"/>
      <x:c r="AG197" s="710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0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0"/>
      <x:c r="AF198" s="23"/>
      <x:c r="AG198" s="710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0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0"/>
      <x:c r="AF199" s="23"/>
      <x:c r="AG199" s="710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0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0"/>
      <x:c r="AF200" s="23"/>
      <x:c r="AG200" s="710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0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0"/>
      <x:c r="AF201" s="23"/>
      <x:c r="AG201" s="710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0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0"/>
      <x:c r="AF202" s="23"/>
      <x:c r="AG202" s="710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0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0"/>
      <x:c r="AF203" s="23"/>
      <x:c r="AG203" s="710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0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0"/>
      <x:c r="AF204" s="23"/>
      <x:c r="AG204" s="710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0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0"/>
      <x:c r="AF205" s="23"/>
      <x:c r="AG205" s="710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0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0"/>
      <x:c r="AF206" s="23"/>
      <x:c r="AG206" s="710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0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0"/>
      <x:c r="AF207" s="23"/>
      <x:c r="AG207" s="710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0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0"/>
      <x:c r="AF208" s="23"/>
      <x:c r="AG208" s="710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0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0"/>
      <x:c r="AF209" s="23"/>
      <x:c r="AG209" s="710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0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0"/>
      <x:c r="AF210" s="23"/>
      <x:c r="AG210" s="710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0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0"/>
      <x:c r="AF211" s="23"/>
      <x:c r="AG211" s="710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0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0"/>
      <x:c r="AF212" s="23"/>
      <x:c r="AG212" s="710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0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0"/>
      <x:c r="AF213" s="23"/>
      <x:c r="AG213" s="710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0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0"/>
      <x:c r="AF214" s="23"/>
      <x:c r="AG214" s="710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0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0"/>
      <x:c r="AF215" s="23"/>
      <x:c r="AG215" s="710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0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0"/>
      <x:c r="AF216" s="23"/>
      <x:c r="AG216" s="710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0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0"/>
      <x:c r="AF217" s="23"/>
      <x:c r="AG217" s="710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0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0"/>
      <x:c r="AF218" s="23"/>
      <x:c r="AG218" s="710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0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0"/>
      <x:c r="AF219" s="23"/>
      <x:c r="AG219" s="710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0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0"/>
      <x:c r="AF220" s="23"/>
      <x:c r="AG220" s="710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0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0"/>
      <x:c r="AF221" s="23"/>
      <x:c r="AG221" s="710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0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0"/>
      <x:c r="AF222" s="23"/>
      <x:c r="AG222" s="710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0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0"/>
      <x:c r="AF223" s="23"/>
      <x:c r="AG223" s="710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0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0"/>
      <x:c r="AF224" s="23"/>
      <x:c r="AG224" s="710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0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0"/>
      <x:c r="AF225" s="23"/>
      <x:c r="AG225" s="710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0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0"/>
      <x:c r="AF226" s="23"/>
      <x:c r="AG226" s="710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0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0"/>
      <x:c r="AF227" s="23"/>
      <x:c r="AG227" s="710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0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0"/>
      <x:c r="AF228" s="23"/>
      <x:c r="AG228" s="710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0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0"/>
      <x:c r="AF229" s="23"/>
      <x:c r="AG229" s="710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0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0"/>
      <x:c r="AF230" s="23"/>
      <x:c r="AG230" s="710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0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0"/>
      <x:c r="AF231" s="23"/>
      <x:c r="AG231" s="710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0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0"/>
      <x:c r="AF232" s="23"/>
      <x:c r="AG232" s="710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0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0"/>
      <x:c r="AF233" s="23"/>
      <x:c r="AG233" s="710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0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0"/>
      <x:c r="AF234" s="23"/>
      <x:c r="AG234" s="710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0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0"/>
      <x:c r="AF235" s="23"/>
      <x:c r="AG235" s="710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0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0"/>
      <x:c r="AF236" s="23"/>
      <x:c r="AG236" s="710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0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0"/>
      <x:c r="AF237" s="23"/>
      <x:c r="AG237" s="710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0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0"/>
      <x:c r="AF238" s="23"/>
      <x:c r="AG238" s="710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0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0"/>
      <x:c r="AF239" s="23"/>
      <x:c r="AG239" s="710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0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0"/>
      <x:c r="AF240" s="23"/>
      <x:c r="AG240" s="710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0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0"/>
      <x:c r="AF241" s="23"/>
      <x:c r="AG241" s="710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0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0"/>
      <x:c r="AF242" s="23"/>
      <x:c r="AG242" s="710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0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0"/>
      <x:c r="AF243" s="23"/>
      <x:c r="AG243" s="710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0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0"/>
      <x:c r="AF244" s="23"/>
      <x:c r="AG244" s="710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0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0"/>
      <x:c r="AF245" s="23"/>
      <x:c r="AG245" s="710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0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0"/>
      <x:c r="AF246" s="23"/>
      <x:c r="AG246" s="710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0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0"/>
      <x:c r="AF247" s="23"/>
      <x:c r="AG247" s="710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0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0"/>
      <x:c r="AF248" s="23"/>
      <x:c r="AG248" s="710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0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0"/>
      <x:c r="AF249" s="23"/>
      <x:c r="AG249" s="710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0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0"/>
      <x:c r="AF250" s="23"/>
      <x:c r="AG250" s="710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0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0"/>
      <x:c r="AF251" s="23"/>
      <x:c r="AG251" s="710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0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0"/>
      <x:c r="AF252" s="23"/>
      <x:c r="AG252" s="710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0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0"/>
      <x:c r="AF253" s="23"/>
      <x:c r="AG253" s="710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0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0"/>
      <x:c r="AF254" s="23"/>
      <x:c r="AG254" s="710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0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0"/>
      <x:c r="AF255" s="23"/>
      <x:c r="AG255" s="710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0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0"/>
      <x:c r="AF256" s="23"/>
      <x:c r="AG256" s="710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0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0"/>
      <x:c r="AF257" s="23"/>
      <x:c r="AG257" s="710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0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0"/>
      <x:c r="AF258" s="23"/>
      <x:c r="AG258" s="710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0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0"/>
      <x:c r="AF259" s="23"/>
      <x:c r="AG259" s="710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0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0"/>
      <x:c r="AF260" s="23"/>
      <x:c r="AG260" s="710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0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0"/>
      <x:c r="AF261" s="23"/>
      <x:c r="AG261" s="710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0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0"/>
      <x:c r="AF262" s="23"/>
      <x:c r="AG262" s="710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0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0"/>
      <x:c r="AF263" s="23"/>
      <x:c r="AG263" s="710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0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0"/>
      <x:c r="AF264" s="23"/>
      <x:c r="AG264" s="710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0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0"/>
      <x:c r="AF265" s="23"/>
      <x:c r="AG265" s="710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0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0"/>
      <x:c r="AF266" s="23"/>
      <x:c r="AG266" s="710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0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0"/>
      <x:c r="AF267" s="23"/>
      <x:c r="AG267" s="710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0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0"/>
      <x:c r="AF268" s="23"/>
      <x:c r="AG268" s="710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0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0"/>
      <x:c r="AF269" s="23"/>
      <x:c r="AG269" s="710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0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0"/>
      <x:c r="AF270" s="23"/>
      <x:c r="AG270" s="710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0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0"/>
      <x:c r="AF271" s="23"/>
      <x:c r="AG271" s="710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0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0"/>
      <x:c r="AF272" s="23"/>
      <x:c r="AG272" s="710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0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0"/>
      <x:c r="AF273" s="23"/>
      <x:c r="AG273" s="710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0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0"/>
      <x:c r="AF274" s="23"/>
      <x:c r="AG274" s="710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0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0"/>
      <x:c r="AF275" s="23"/>
      <x:c r="AG275" s="710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0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0"/>
      <x:c r="AF276" s="23"/>
      <x:c r="AG276" s="710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0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0"/>
      <x:c r="AF277" s="23"/>
      <x:c r="AG277" s="710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0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0"/>
      <x:c r="AF278" s="23"/>
      <x:c r="AG278" s="710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0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0"/>
      <x:c r="AF279" s="23"/>
      <x:c r="AG279" s="710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0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0"/>
      <x:c r="AF280" s="23"/>
      <x:c r="AG280" s="710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0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0"/>
      <x:c r="AF281" s="23"/>
      <x:c r="AG281" s="710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0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0"/>
      <x:c r="AF282" s="23"/>
      <x:c r="AG282" s="710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0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0"/>
      <x:c r="AF283" s="23"/>
      <x:c r="AG283" s="710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0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0"/>
      <x:c r="AF284" s="23"/>
      <x:c r="AG284" s="710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0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0"/>
      <x:c r="AF285" s="23"/>
      <x:c r="AG285" s="710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0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0"/>
      <x:c r="AF286" s="23"/>
      <x:c r="AG286" s="710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0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0"/>
      <x:c r="AF287" s="23"/>
      <x:c r="AG287" s="710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0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0"/>
      <x:c r="AF288" s="23"/>
      <x:c r="AG288" s="710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0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0"/>
      <x:c r="AF289" s="23"/>
      <x:c r="AG289" s="710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0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0"/>
      <x:c r="AF290" s="23"/>
      <x:c r="AG290" s="710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0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0"/>
      <x:c r="AF291" s="23"/>
      <x:c r="AG291" s="710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0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0"/>
      <x:c r="AF292" s="23"/>
      <x:c r="AG292" s="710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0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0"/>
      <x:c r="AF293" s="23"/>
      <x:c r="AG293" s="710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0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0"/>
      <x:c r="AF294" s="23"/>
      <x:c r="AG294" s="710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0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0"/>
      <x:c r="AF295" s="23"/>
      <x:c r="AG295" s="710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0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0"/>
      <x:c r="AF296" s="23"/>
      <x:c r="AG296" s="710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0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0"/>
      <x:c r="AF297" s="23"/>
      <x:c r="AG297" s="710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0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0"/>
      <x:c r="AF298" s="23"/>
      <x:c r="AG298" s="710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0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0"/>
      <x:c r="AF299" s="23"/>
      <x:c r="AG299" s="710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0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0"/>
      <x:c r="AF300" s="23"/>
      <x:c r="AG300" s="710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0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0"/>
      <x:c r="AF301" s="23"/>
      <x:c r="AG301" s="710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0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0"/>
      <x:c r="AF302" s="23"/>
      <x:c r="AG302" s="710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0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0"/>
      <x:c r="AF303" s="23"/>
      <x:c r="AG303" s="710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0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0"/>
      <x:c r="AF304" s="23"/>
      <x:c r="AG304" s="710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0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0"/>
      <x:c r="AF305" s="23"/>
      <x:c r="AG305" s="710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0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0"/>
      <x:c r="AF306" s="23"/>
      <x:c r="AG306" s="710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0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0"/>
      <x:c r="AF307" s="23"/>
      <x:c r="AG307" s="710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0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0"/>
      <x:c r="AF308" s="23"/>
      <x:c r="AG308" s="710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0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0"/>
      <x:c r="AF309" s="23"/>
      <x:c r="AG309" s="710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0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0"/>
      <x:c r="AF310" s="23"/>
      <x:c r="AG310" s="710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0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0"/>
      <x:c r="AF311" s="23"/>
      <x:c r="AG311" s="710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0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0"/>
      <x:c r="AF312" s="23"/>
      <x:c r="AG312" s="710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0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0"/>
      <x:c r="AF313" s="23"/>
      <x:c r="AG313" s="710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0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0"/>
      <x:c r="AF314" s="23"/>
      <x:c r="AG314" s="710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0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0"/>
      <x:c r="AF315" s="23"/>
      <x:c r="AG315" s="710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0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0"/>
      <x:c r="AF316" s="23"/>
      <x:c r="AG316" s="710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0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0"/>
      <x:c r="AF317" s="23"/>
      <x:c r="AG317" s="710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0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0"/>
      <x:c r="AF318" s="23"/>
      <x:c r="AG318" s="710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0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0"/>
      <x:c r="AF319" s="23"/>
      <x:c r="AG319" s="710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0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0"/>
      <x:c r="AF320" s="23"/>
      <x:c r="AG320" s="710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0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0"/>
      <x:c r="AF321" s="23"/>
      <x:c r="AG321" s="710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0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0"/>
      <x:c r="AF322" s="23"/>
      <x:c r="AG322" s="710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0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0"/>
      <x:c r="AF323" s="23"/>
      <x:c r="AG323" s="710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0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0"/>
      <x:c r="AF324" s="23"/>
      <x:c r="AG324" s="710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0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0"/>
      <x:c r="AF325" s="23"/>
      <x:c r="AG325" s="710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0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0"/>
      <x:c r="AF326" s="23"/>
      <x:c r="AG326" s="710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0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0"/>
      <x:c r="AF327" s="23"/>
      <x:c r="AG327" s="710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0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0"/>
      <x:c r="AF328" s="23"/>
      <x:c r="AG328" s="710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0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0"/>
      <x:c r="AF329" s="23"/>
      <x:c r="AG329" s="710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0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0"/>
      <x:c r="AF330" s="23"/>
      <x:c r="AG330" s="710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0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0"/>
      <x:c r="AF331" s="23"/>
      <x:c r="AG331" s="710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0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0"/>
      <x:c r="AF332" s="23"/>
      <x:c r="AG332" s="710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0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0"/>
      <x:c r="AF333" s="23"/>
      <x:c r="AG333" s="710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0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0"/>
      <x:c r="AF334" s="23"/>
      <x:c r="AG334" s="710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0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0"/>
      <x:c r="AF335" s="23"/>
      <x:c r="AG335" s="710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0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0"/>
      <x:c r="AF336" s="23"/>
      <x:c r="AG336" s="710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0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0"/>
      <x:c r="AF337" s="23"/>
      <x:c r="AG337" s="710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0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0"/>
      <x:c r="AF338" s="23"/>
      <x:c r="AG338" s="710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0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0"/>
      <x:c r="AF339" s="23"/>
      <x:c r="AG339" s="710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0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0"/>
      <x:c r="AF340" s="23"/>
      <x:c r="AG340" s="710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0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0"/>
      <x:c r="AF341" s="23"/>
      <x:c r="AG341" s="710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0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0"/>
      <x:c r="AF342" s="23"/>
      <x:c r="AG342" s="710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0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0"/>
      <x:c r="AF343" s="23"/>
      <x:c r="AG343" s="710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0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0"/>
      <x:c r="AF344" s="23"/>
      <x:c r="AG344" s="710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0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0"/>
      <x:c r="AF345" s="23"/>
      <x:c r="AG345" s="710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0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0"/>
      <x:c r="AF346" s="23"/>
      <x:c r="AG346" s="710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0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0"/>
      <x:c r="AF347" s="23"/>
      <x:c r="AG347" s="710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0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0"/>
      <x:c r="AF348" s="23"/>
      <x:c r="AG348" s="710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0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0"/>
      <x:c r="AF349" s="23"/>
      <x:c r="AG349" s="710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0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0"/>
      <x:c r="AF350" s="23"/>
      <x:c r="AG350" s="710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0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0"/>
      <x:c r="AF351" s="23"/>
      <x:c r="AG351" s="710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0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0"/>
      <x:c r="AF352" s="23"/>
      <x:c r="AG352" s="710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0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0"/>
      <x:c r="AF353" s="23"/>
      <x:c r="AG353" s="710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0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0"/>
      <x:c r="AF354" s="23"/>
      <x:c r="AG354" s="710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0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0"/>
      <x:c r="AF355" s="23"/>
      <x:c r="AG355" s="710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0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0"/>
      <x:c r="AF356" s="23"/>
      <x:c r="AG356" s="710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0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0"/>
      <x:c r="AF357" s="23"/>
      <x:c r="AG357" s="710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0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0"/>
      <x:c r="AF358" s="23"/>
      <x:c r="AG358" s="710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0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0"/>
      <x:c r="AF359" s="23"/>
      <x:c r="AG359" s="710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0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0"/>
      <x:c r="AF360" s="23"/>
      <x:c r="AG360" s="710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0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0"/>
      <x:c r="AF361" s="23"/>
      <x:c r="AG361" s="710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0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0"/>
      <x:c r="AF362" s="23"/>
      <x:c r="AG362" s="710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0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0"/>
      <x:c r="AF363" s="23"/>
      <x:c r="AG363" s="710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0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0"/>
      <x:c r="AF364" s="23"/>
      <x:c r="AG364" s="710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0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0"/>
      <x:c r="AF365" s="23"/>
      <x:c r="AG365" s="710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0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0"/>
      <x:c r="AF366" s="23"/>
      <x:c r="AG366" s="710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0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0"/>
      <x:c r="AF367" s="23"/>
      <x:c r="AG367" s="710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0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0"/>
      <x:c r="AF368" s="23"/>
      <x:c r="AG368" s="710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0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0"/>
      <x:c r="AF369" s="23"/>
      <x:c r="AG369" s="710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0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0"/>
      <x:c r="AF370" s="23"/>
      <x:c r="AG370" s="710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0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0"/>
      <x:c r="AF371" s="23"/>
      <x:c r="AG371" s="710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0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0"/>
      <x:c r="AF372" s="23"/>
      <x:c r="AG372" s="710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0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0"/>
      <x:c r="AF373" s="23"/>
      <x:c r="AG373" s="710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0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0"/>
      <x:c r="AF374" s="23"/>
      <x:c r="AG374" s="710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0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0"/>
      <x:c r="AF375" s="23"/>
      <x:c r="AG375" s="710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0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0"/>
      <x:c r="AF376" s="23"/>
      <x:c r="AG376" s="710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0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0"/>
      <x:c r="AF377" s="23"/>
      <x:c r="AG377" s="710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0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0"/>
      <x:c r="AF378" s="23"/>
      <x:c r="AG378" s="710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0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0"/>
      <x:c r="AF379" s="23"/>
      <x:c r="AG379" s="710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0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0"/>
      <x:c r="AF380" s="23"/>
      <x:c r="AG380" s="710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0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0"/>
      <x:c r="AF381" s="23"/>
      <x:c r="AG381" s="710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0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0"/>
      <x:c r="AF382" s="23"/>
      <x:c r="AG382" s="710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0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0"/>
      <x:c r="AF383" s="23"/>
      <x:c r="AG383" s="710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0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0"/>
      <x:c r="AF384" s="23"/>
      <x:c r="AG384" s="710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0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0"/>
      <x:c r="AF385" s="23"/>
      <x:c r="AG385" s="710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0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0"/>
      <x:c r="AF386" s="23"/>
      <x:c r="AG386" s="710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0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0"/>
      <x:c r="AF387" s="23"/>
      <x:c r="AG387" s="710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0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0"/>
      <x:c r="AF388" s="23"/>
      <x:c r="AG388" s="710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0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0"/>
      <x:c r="AF389" s="23"/>
      <x:c r="AG389" s="710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0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0"/>
      <x:c r="AF390" s="23"/>
      <x:c r="AG390" s="710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0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0"/>
      <x:c r="AF391" s="23"/>
      <x:c r="AG391" s="710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0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0"/>
      <x:c r="AF392" s="23"/>
      <x:c r="AG392" s="710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0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0"/>
      <x:c r="AF393" s="23"/>
      <x:c r="AG393" s="710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0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0"/>
      <x:c r="AF394" s="23"/>
      <x:c r="AG394" s="710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0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0"/>
      <x:c r="AF395" s="23"/>
      <x:c r="AG395" s="710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0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0"/>
      <x:c r="AF396" s="23"/>
      <x:c r="AG396" s="710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0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0"/>
      <x:c r="AF397" s="23"/>
      <x:c r="AG397" s="710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0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0"/>
      <x:c r="AF398" s="23"/>
      <x:c r="AG398" s="710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0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0"/>
      <x:c r="AF399" s="23"/>
      <x:c r="AG399" s="710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0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0"/>
      <x:c r="AF400" s="23"/>
      <x:c r="AG400" s="710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0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0"/>
      <x:c r="AF401" s="23"/>
      <x:c r="AG401" s="710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0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0"/>
      <x:c r="AF402" s="23"/>
      <x:c r="AG402" s="710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0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0"/>
      <x:c r="AF403" s="23"/>
      <x:c r="AG403" s="710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0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0"/>
      <x:c r="AF404" s="23"/>
      <x:c r="AG404" s="710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0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0"/>
      <x:c r="AF405" s="23"/>
      <x:c r="AG405" s="710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0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0"/>
      <x:c r="AF406" s="23"/>
      <x:c r="AG406" s="710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0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0"/>
      <x:c r="AF407" s="23"/>
      <x:c r="AG407" s="710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0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0"/>
      <x:c r="AF408" s="23"/>
      <x:c r="AG408" s="710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0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0"/>
      <x:c r="AF409" s="23"/>
      <x:c r="AG409" s="710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0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0"/>
      <x:c r="AF410" s="23"/>
      <x:c r="AG410" s="710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0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0"/>
      <x:c r="AF411" s="23"/>
      <x:c r="AG411" s="710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0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0"/>
      <x:c r="AF412" s="23"/>
      <x:c r="AG412" s="710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0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0"/>
      <x:c r="AF413" s="23"/>
      <x:c r="AG413" s="710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0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0"/>
      <x:c r="AF414" s="23"/>
      <x:c r="AG414" s="710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0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0"/>
      <x:c r="AF415" s="23"/>
      <x:c r="AG415" s="710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0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0"/>
      <x:c r="AF416" s="23"/>
      <x:c r="AG416" s="710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0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0"/>
      <x:c r="AF417" s="23"/>
      <x:c r="AG417" s="710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0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0"/>
      <x:c r="AF418" s="23"/>
      <x:c r="AG418" s="710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0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0"/>
      <x:c r="AF419" s="23"/>
      <x:c r="AG419" s="710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0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0"/>
      <x:c r="AF420" s="23"/>
      <x:c r="AG420" s="710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0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0"/>
      <x:c r="AF421" s="23"/>
      <x:c r="AG421" s="710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0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0"/>
      <x:c r="AF422" s="23"/>
      <x:c r="AG422" s="710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0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0"/>
      <x:c r="AF423" s="23"/>
      <x:c r="AG423" s="710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0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0"/>
      <x:c r="AF424" s="23"/>
      <x:c r="AG424" s="710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0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0"/>
      <x:c r="AF425" s="23"/>
      <x:c r="AG425" s="710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0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0"/>
      <x:c r="AF426" s="23"/>
      <x:c r="AG426" s="710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0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0"/>
      <x:c r="AF427" s="23"/>
      <x:c r="AG427" s="710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0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0"/>
      <x:c r="AF428" s="23"/>
      <x:c r="AG428" s="710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0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0"/>
      <x:c r="AF429" s="23"/>
      <x:c r="AG429" s="710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0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0"/>
      <x:c r="AF430" s="23"/>
      <x:c r="AG430" s="710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0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0"/>
      <x:c r="AF431" s="23"/>
      <x:c r="AG431" s="710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0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0"/>
      <x:c r="AF432" s="23"/>
      <x:c r="AG432" s="710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0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0"/>
      <x:c r="AF433" s="23"/>
      <x:c r="AG433" s="710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0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0"/>
      <x:c r="AF434" s="23"/>
      <x:c r="AG434" s="710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0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0"/>
      <x:c r="AF435" s="23"/>
      <x:c r="AG435" s="710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0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0"/>
      <x:c r="AF436" s="23"/>
      <x:c r="AG436" s="710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0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0"/>
      <x:c r="AF437" s="23"/>
      <x:c r="AG437" s="710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0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0"/>
      <x:c r="AF438" s="23"/>
      <x:c r="AG438" s="710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0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0"/>
      <x:c r="AF439" s="23"/>
      <x:c r="AG439" s="710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0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0"/>
      <x:c r="AF440" s="23"/>
      <x:c r="AG440" s="710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0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0"/>
      <x:c r="AF441" s="23"/>
      <x:c r="AG441" s="710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0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0"/>
      <x:c r="AF442" s="23"/>
      <x:c r="AG442" s="710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0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0"/>
      <x:c r="AF443" s="23"/>
      <x:c r="AG443" s="710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0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0"/>
      <x:c r="AF444" s="23"/>
      <x:c r="AG444" s="710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0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0"/>
      <x:c r="AF445" s="23"/>
      <x:c r="AG445" s="710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0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0"/>
      <x:c r="AF446" s="23"/>
      <x:c r="AG446" s="710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0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0"/>
      <x:c r="AF447" s="23"/>
      <x:c r="AG447" s="710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0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0"/>
      <x:c r="AF448" s="23"/>
      <x:c r="AG448" s="710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0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0"/>
      <x:c r="AF449" s="23"/>
      <x:c r="AG449" s="710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0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0"/>
      <x:c r="AF450" s="23"/>
      <x:c r="AG450" s="710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0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0"/>
      <x:c r="AF451" s="23"/>
      <x:c r="AG451" s="710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0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0"/>
      <x:c r="AF452" s="23"/>
      <x:c r="AG452" s="710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0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0"/>
      <x:c r="AF453" s="23"/>
      <x:c r="AG453" s="710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0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0"/>
      <x:c r="AF454" s="23"/>
      <x:c r="AG454" s="710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0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0"/>
      <x:c r="AF455" s="23"/>
      <x:c r="AG455" s="710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0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0"/>
      <x:c r="AF456" s="23"/>
      <x:c r="AG456" s="710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0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0"/>
      <x:c r="AF457" s="23"/>
      <x:c r="AG457" s="710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0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0"/>
      <x:c r="AF458" s="23"/>
      <x:c r="AG458" s="710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0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0"/>
      <x:c r="AF459" s="23"/>
      <x:c r="AG459" s="710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0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0"/>
      <x:c r="AF460" s="23"/>
      <x:c r="AG460" s="710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0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0"/>
      <x:c r="AF461" s="23"/>
      <x:c r="AG461" s="710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0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0"/>
      <x:c r="AF462" s="23"/>
      <x:c r="AG462" s="710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0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0"/>
      <x:c r="AF463" s="23"/>
      <x:c r="AG463" s="710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0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0"/>
      <x:c r="AF464" s="23"/>
      <x:c r="AG464" s="710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0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0"/>
      <x:c r="AF465" s="23"/>
      <x:c r="AG465" s="710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0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0"/>
      <x:c r="AF466" s="23"/>
      <x:c r="AG466" s="710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0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0"/>
      <x:c r="AF467" s="23"/>
      <x:c r="AG467" s="710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0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0"/>
      <x:c r="AF468" s="23"/>
      <x:c r="AG468" s="710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0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0"/>
      <x:c r="AF469" s="23"/>
      <x:c r="AG469" s="710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0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0"/>
      <x:c r="AF470" s="23"/>
      <x:c r="AG470" s="710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0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0"/>
      <x:c r="AF471" s="23"/>
      <x:c r="AG471" s="710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0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0"/>
      <x:c r="AF472" s="23"/>
      <x:c r="AG472" s="710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0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0"/>
      <x:c r="AF473" s="23"/>
      <x:c r="AG473" s="710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0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0"/>
      <x:c r="AF474" s="23"/>
      <x:c r="AG474" s="710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0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0"/>
      <x:c r="AF475" s="23"/>
      <x:c r="AG475" s="710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0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0"/>
      <x:c r="AF476" s="23"/>
      <x:c r="AG476" s="710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0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0"/>
      <x:c r="AF477" s="23"/>
      <x:c r="AG477" s="710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0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0"/>
      <x:c r="AF478" s="23"/>
      <x:c r="AG478" s="710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0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0"/>
      <x:c r="AF479" s="23"/>
      <x:c r="AG479" s="710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0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0"/>
      <x:c r="AF480" s="23"/>
      <x:c r="AG480" s="710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0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0"/>
      <x:c r="AF481" s="23"/>
      <x:c r="AG481" s="710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0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0"/>
      <x:c r="AF482" s="23"/>
      <x:c r="AG482" s="710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0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0"/>
      <x:c r="AF483" s="23"/>
      <x:c r="AG483" s="710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0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0"/>
      <x:c r="AF484" s="23"/>
      <x:c r="AG484" s="710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0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0"/>
      <x:c r="AF485" s="23"/>
      <x:c r="AG485" s="710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0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0"/>
      <x:c r="AF486" s="23"/>
      <x:c r="AG486" s="710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0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0"/>
      <x:c r="AF487" s="23"/>
      <x:c r="AG487" s="710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0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0"/>
      <x:c r="AF488" s="23"/>
      <x:c r="AG488" s="710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0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0"/>
      <x:c r="AF489" s="23"/>
      <x:c r="AG489" s="710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0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0"/>
      <x:c r="AF490" s="23"/>
      <x:c r="AG490" s="710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0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0"/>
      <x:c r="AF491" s="23"/>
      <x:c r="AG491" s="710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0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0"/>
      <x:c r="AF492" s="23"/>
      <x:c r="AG492" s="710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0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0"/>
      <x:c r="AF493" s="23"/>
      <x:c r="AG493" s="710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0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0"/>
      <x:c r="AF494" s="23"/>
      <x:c r="AG494" s="710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0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0"/>
      <x:c r="AF495" s="23"/>
      <x:c r="AG495" s="710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0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0"/>
      <x:c r="AF496" s="23"/>
      <x:c r="AG496" s="710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0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0"/>
      <x:c r="AF497" s="23"/>
      <x:c r="AG497" s="710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0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0"/>
      <x:c r="AF498" s="23"/>
      <x:c r="AG498" s="710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0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0"/>
      <x:c r="AF499" s="23"/>
      <x:c r="AG499" s="710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0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0"/>
      <x:c r="AF500" s="23"/>
      <x:c r="AG500" s="710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0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0"/>
      <x:c r="AF501" s="23"/>
      <x:c r="AG501" s="710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0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0"/>
      <x:c r="AF502" s="23"/>
      <x:c r="AG502" s="710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0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0"/>
      <x:c r="AF503" s="23"/>
      <x:c r="AG503" s="710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0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0"/>
      <x:c r="AF504" s="23"/>
      <x:c r="AG504" s="710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0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0"/>
      <x:c r="AF505" s="23"/>
      <x:c r="AG505" s="710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0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0"/>
      <x:c r="AF506" s="23"/>
      <x:c r="AG506" s="710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0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0"/>
      <x:c r="AF507" s="23"/>
      <x:c r="AG507" s="710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0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0"/>
      <x:c r="AF508" s="23"/>
      <x:c r="AG508" s="710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0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0"/>
      <x:c r="AF509" s="23"/>
      <x:c r="AG509" s="710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0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0"/>
      <x:c r="AF510" s="23"/>
      <x:c r="AG510" s="710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0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0"/>
      <x:c r="AF511" s="23"/>
      <x:c r="AG511" s="710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0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0"/>
      <x:c r="AF512" s="23"/>
      <x:c r="AG512" s="710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0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0"/>
      <x:c r="AF513" s="23"/>
      <x:c r="AG513" s="710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0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0"/>
      <x:c r="AF514" s="23"/>
      <x:c r="AG514" s="710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0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0"/>
      <x:c r="AF515" s="23"/>
      <x:c r="AG515" s="710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0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0"/>
      <x:c r="AF516" s="23"/>
      <x:c r="AG516" s="710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0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0"/>
      <x:c r="AF517" s="23"/>
      <x:c r="AG517" s="710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0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0"/>
      <x:c r="AF518" s="23"/>
      <x:c r="AG518" s="710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0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0"/>
      <x:c r="AF519" s="23"/>
      <x:c r="AG519" s="710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0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0"/>
      <x:c r="AF520" s="23"/>
      <x:c r="AG520" s="710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0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0"/>
      <x:c r="AF521" s="23"/>
      <x:c r="AG521" s="710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0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0"/>
      <x:c r="AF522" s="23"/>
      <x:c r="AG522" s="710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0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0"/>
      <x:c r="AF523" s="23"/>
      <x:c r="AG523" s="710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0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0"/>
      <x:c r="AF524" s="23"/>
      <x:c r="AG524" s="710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0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0"/>
      <x:c r="AF525" s="23"/>
      <x:c r="AG525" s="710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0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0"/>
      <x:c r="AF526" s="23"/>
      <x:c r="AG526" s="710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0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0"/>
      <x:c r="AF527" s="23"/>
      <x:c r="AG527" s="710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0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0"/>
      <x:c r="AF528" s="23"/>
      <x:c r="AG528" s="710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0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0"/>
      <x:c r="AF529" s="23"/>
      <x:c r="AG529" s="710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0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0"/>
      <x:c r="AF530" s="23"/>
      <x:c r="AG530" s="710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0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0"/>
      <x:c r="AF531" s="23"/>
      <x:c r="AG531" s="710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0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0"/>
      <x:c r="AF532" s="23"/>
      <x:c r="AG532" s="710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0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0"/>
      <x:c r="AF533" s="23"/>
      <x:c r="AG533" s="710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0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0"/>
      <x:c r="AF534" s="23"/>
      <x:c r="AG534" s="710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0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0"/>
      <x:c r="AF535" s="23"/>
      <x:c r="AG535" s="710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0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0"/>
      <x:c r="AF536" s="23"/>
      <x:c r="AG536" s="710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0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0"/>
      <x:c r="AF537" s="23"/>
      <x:c r="AG537" s="710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0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0"/>
      <x:c r="AF538" s="23"/>
      <x:c r="AG538" s="710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0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0"/>
      <x:c r="AF539" s="23"/>
      <x:c r="AG539" s="710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0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0"/>
      <x:c r="AF540" s="23"/>
      <x:c r="AG540" s="710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0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0"/>
      <x:c r="AF541" s="23"/>
      <x:c r="AG541" s="710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0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0"/>
      <x:c r="AF542" s="23"/>
      <x:c r="AG542" s="710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0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0"/>
      <x:c r="AF543" s="23"/>
      <x:c r="AG543" s="710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0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0"/>
      <x:c r="AF544" s="23"/>
      <x:c r="AG544" s="710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0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0"/>
      <x:c r="AF545" s="23"/>
      <x:c r="AG545" s="710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0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0"/>
      <x:c r="AF546" s="23"/>
      <x:c r="AG546" s="710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0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0"/>
      <x:c r="AF547" s="23"/>
      <x:c r="AG547" s="710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0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0"/>
      <x:c r="AF548" s="23"/>
      <x:c r="AG548" s="710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0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0"/>
      <x:c r="AF549" s="23"/>
      <x:c r="AG549" s="710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0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0"/>
      <x:c r="AF550" s="23"/>
      <x:c r="AG550" s="710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0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0"/>
      <x:c r="AF551" s="23"/>
      <x:c r="AG551" s="710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0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0"/>
      <x:c r="AF552" s="23"/>
      <x:c r="AG552" s="710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0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0"/>
      <x:c r="AF553" s="23"/>
      <x:c r="AG553" s="710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0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0"/>
      <x:c r="AF554" s="23"/>
      <x:c r="AG554" s="710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0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0"/>
      <x:c r="AF555" s="23"/>
      <x:c r="AG555" s="710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0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0"/>
      <x:c r="AF556" s="23"/>
      <x:c r="AG556" s="710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0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0"/>
      <x:c r="AF557" s="23"/>
      <x:c r="AG557" s="710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0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0"/>
      <x:c r="AF558" s="23"/>
      <x:c r="AG558" s="710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0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0"/>
      <x:c r="AF559" s="23"/>
      <x:c r="AG559" s="710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0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0"/>
      <x:c r="AF560" s="23"/>
      <x:c r="AG560" s="710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0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0"/>
      <x:c r="AF561" s="23"/>
      <x:c r="AG561" s="710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0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0"/>
      <x:c r="AF562" s="23"/>
      <x:c r="AG562" s="710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0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0"/>
      <x:c r="AF563" s="23"/>
      <x:c r="AG563" s="710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0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0"/>
      <x:c r="AF564" s="23"/>
      <x:c r="AG564" s="710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0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0"/>
      <x:c r="AF565" s="23"/>
      <x:c r="AG565" s="710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0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0"/>
      <x:c r="AF566" s="23"/>
      <x:c r="AG566" s="710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0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0"/>
      <x:c r="AF567" s="23"/>
      <x:c r="AG567" s="710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0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0"/>
      <x:c r="AF568" s="23"/>
      <x:c r="AG568" s="710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0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0"/>
      <x:c r="AF569" s="23"/>
      <x:c r="AG569" s="710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0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0"/>
      <x:c r="AF570" s="23"/>
      <x:c r="AG570" s="710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0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0"/>
      <x:c r="AF571" s="23"/>
      <x:c r="AG571" s="710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0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0"/>
      <x:c r="AF572" s="23"/>
      <x:c r="AG572" s="710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0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0"/>
      <x:c r="AF573" s="23"/>
      <x:c r="AG573" s="710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0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0"/>
      <x:c r="AF574" s="23"/>
      <x:c r="AG574" s="710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0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0"/>
      <x:c r="AF575" s="23"/>
      <x:c r="AG575" s="710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0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0"/>
      <x:c r="AF576" s="23"/>
      <x:c r="AG576" s="710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0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0"/>
      <x:c r="AF577" s="23"/>
      <x:c r="AG577" s="710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0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0"/>
      <x:c r="AF578" s="23"/>
      <x:c r="AG578" s="710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0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0"/>
      <x:c r="AF579" s="23"/>
      <x:c r="AG579" s="710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0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0"/>
      <x:c r="AF580" s="23"/>
      <x:c r="AG580" s="710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0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0"/>
      <x:c r="AF581" s="23"/>
      <x:c r="AG581" s="710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0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0"/>
      <x:c r="AF582" s="23"/>
      <x:c r="AG582" s="710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0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0"/>
      <x:c r="AF583" s="23"/>
      <x:c r="AG583" s="710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0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0"/>
      <x:c r="AF584" s="23"/>
      <x:c r="AG584" s="710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0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0"/>
      <x:c r="AF585" s="23"/>
      <x:c r="AG585" s="710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0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0"/>
      <x:c r="AF586" s="23"/>
      <x:c r="AG586" s="710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0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0"/>
      <x:c r="AF587" s="23"/>
      <x:c r="AG587" s="710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0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0"/>
      <x:c r="AF588" s="23"/>
      <x:c r="AG588" s="710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0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0"/>
      <x:c r="AF589" s="23"/>
      <x:c r="AG589" s="710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0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0"/>
      <x:c r="AF590" s="23"/>
      <x:c r="AG590" s="710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0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0"/>
      <x:c r="AF591" s="23"/>
      <x:c r="AG591" s="710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0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0"/>
      <x:c r="AF592" s="23"/>
      <x:c r="AG592" s="710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0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0"/>
      <x:c r="AF593" s="23"/>
      <x:c r="AG593" s="710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0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0"/>
      <x:c r="AF594" s="23"/>
      <x:c r="AG594" s="710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0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0"/>
      <x:c r="AF595" s="23"/>
      <x:c r="AG595" s="710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0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0"/>
      <x:c r="AF596" s="23"/>
      <x:c r="AG596" s="710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0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0"/>
      <x:c r="AF597" s="23"/>
      <x:c r="AG597" s="710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0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0"/>
      <x:c r="AF598" s="23"/>
      <x:c r="AG598" s="710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0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0"/>
      <x:c r="AF599" s="23"/>
      <x:c r="AG599" s="710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0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0"/>
      <x:c r="AF600" s="23"/>
      <x:c r="AG600" s="710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0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0"/>
      <x:c r="AF601" s="23"/>
      <x:c r="AG601" s="710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0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0"/>
      <x:c r="AF602" s="23"/>
      <x:c r="AG602" s="710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0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0"/>
      <x:c r="AF603" s="23"/>
      <x:c r="AG603" s="710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0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0"/>
      <x:c r="AF604" s="23"/>
      <x:c r="AG604" s="710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0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0"/>
      <x:c r="AF605" s="23"/>
      <x:c r="AG605" s="710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0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0"/>
      <x:c r="AF606" s="23"/>
      <x:c r="AG606" s="710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0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0"/>
      <x:c r="AF607" s="23"/>
      <x:c r="AG607" s="710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0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0"/>
      <x:c r="AF608" s="23"/>
      <x:c r="AG608" s="710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0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0"/>
      <x:c r="AF609" s="23"/>
      <x:c r="AG609" s="710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0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0"/>
      <x:c r="AF610" s="23"/>
      <x:c r="AG610" s="710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0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0"/>
      <x:c r="AF611" s="23"/>
      <x:c r="AG611" s="710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0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0"/>
      <x:c r="AF612" s="23"/>
      <x:c r="AG612" s="710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0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0"/>
      <x:c r="AF613" s="23"/>
      <x:c r="AG613" s="710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0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0"/>
      <x:c r="AF614" s="23"/>
      <x:c r="AG614" s="710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0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0"/>
      <x:c r="AF615" s="23"/>
      <x:c r="AG615" s="710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0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0"/>
      <x:c r="AF616" s="23"/>
      <x:c r="AG616" s="710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0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0"/>
      <x:c r="AF617" s="23"/>
      <x:c r="AG617" s="710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0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0"/>
      <x:c r="AF618" s="23"/>
      <x:c r="AG618" s="710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0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0"/>
      <x:c r="AF619" s="23"/>
      <x:c r="AG619" s="710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0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0"/>
      <x:c r="AF620" s="23"/>
      <x:c r="AG620" s="710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0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0"/>
      <x:c r="AF621" s="23"/>
      <x:c r="AG621" s="710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0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0"/>
      <x:c r="AF622" s="23"/>
      <x:c r="AG622" s="710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0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0"/>
      <x:c r="AF623" s="23"/>
      <x:c r="AG623" s="710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0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0"/>
      <x:c r="AF624" s="23"/>
      <x:c r="AG624" s="710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0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0"/>
      <x:c r="AF625" s="23"/>
      <x:c r="AG625" s="710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0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0"/>
      <x:c r="AF626" s="23"/>
      <x:c r="AG626" s="710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0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0"/>
      <x:c r="AF627" s="23"/>
      <x:c r="AG627" s="710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0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0"/>
      <x:c r="AF628" s="23"/>
      <x:c r="AG628" s="710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0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0"/>
      <x:c r="AF629" s="23"/>
      <x:c r="AG629" s="710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0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0"/>
      <x:c r="AF630" s="23"/>
      <x:c r="AG630" s="710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0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0"/>
      <x:c r="AF631" s="23"/>
      <x:c r="AG631" s="710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0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0"/>
      <x:c r="AF632" s="23"/>
      <x:c r="AG632" s="710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0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0"/>
      <x:c r="AF633" s="23"/>
      <x:c r="AG633" s="710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0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0"/>
      <x:c r="AF634" s="23"/>
      <x:c r="AG634" s="710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0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0"/>
      <x:c r="AF635" s="23"/>
      <x:c r="AG635" s="710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0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0"/>
      <x:c r="AF636" s="23"/>
      <x:c r="AG636" s="710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0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0"/>
      <x:c r="AF637" s="23"/>
      <x:c r="AG637" s="710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0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0"/>
      <x:c r="AF638" s="23"/>
      <x:c r="AG638" s="710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0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0"/>
      <x:c r="AF639" s="23"/>
      <x:c r="AG639" s="710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0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0"/>
      <x:c r="AF640" s="23"/>
      <x:c r="AG640" s="710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0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0"/>
      <x:c r="AF641" s="23"/>
      <x:c r="AG641" s="710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0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0"/>
      <x:c r="AF642" s="23"/>
      <x:c r="AG642" s="710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0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0"/>
      <x:c r="AF643" s="23"/>
      <x:c r="AG643" s="710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0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0"/>
      <x:c r="AF644" s="23"/>
      <x:c r="AG644" s="710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0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0"/>
      <x:c r="AF645" s="23"/>
      <x:c r="AG645" s="710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0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0"/>
      <x:c r="AF646" s="23"/>
      <x:c r="AG646" s="710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0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0"/>
      <x:c r="AF647" s="23"/>
      <x:c r="AG647" s="710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0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0"/>
      <x:c r="AF648" s="23"/>
      <x:c r="AG648" s="710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0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0"/>
      <x:c r="AF649" s="23"/>
      <x:c r="AG649" s="710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0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0"/>
      <x:c r="AF650" s="23"/>
      <x:c r="AG650" s="710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0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0"/>
      <x:c r="AF651" s="23"/>
      <x:c r="AG651" s="710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0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0"/>
      <x:c r="AF652" s="23"/>
      <x:c r="AG652" s="710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0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0"/>
      <x:c r="AF653" s="23"/>
      <x:c r="AG653" s="710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0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0"/>
      <x:c r="AF654" s="23"/>
      <x:c r="AG654" s="710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0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0"/>
      <x:c r="AF655" s="23"/>
      <x:c r="AG655" s="710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0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0"/>
      <x:c r="AF656" s="23"/>
      <x:c r="AG656" s="710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0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0"/>
      <x:c r="AF657" s="23"/>
      <x:c r="AG657" s="710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0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0"/>
      <x:c r="AF658" s="23"/>
      <x:c r="AG658" s="710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0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0"/>
      <x:c r="AF659" s="23"/>
      <x:c r="AG659" s="710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0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0"/>
      <x:c r="AF660" s="23"/>
      <x:c r="AG660" s="710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0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0"/>
      <x:c r="AF661" s="23"/>
      <x:c r="AG661" s="710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0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0"/>
      <x:c r="AF662" s="23"/>
      <x:c r="AG662" s="710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0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0"/>
      <x:c r="AF663" s="23"/>
      <x:c r="AG663" s="710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0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0"/>
      <x:c r="AF664" s="23"/>
      <x:c r="AG664" s="710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0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0"/>
      <x:c r="AF665" s="23"/>
      <x:c r="AG665" s="710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0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0"/>
      <x:c r="AF666" s="23"/>
      <x:c r="AG666" s="710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0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0"/>
      <x:c r="AF667" s="23"/>
      <x:c r="AG667" s="710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0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0"/>
      <x:c r="AF668" s="23"/>
      <x:c r="AG668" s="710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0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0"/>
      <x:c r="AF669" s="23"/>
      <x:c r="AG669" s="710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0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0"/>
      <x:c r="AF670" s="23"/>
      <x:c r="AG670" s="710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0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0"/>
      <x:c r="AF671" s="23"/>
      <x:c r="AG671" s="710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0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0"/>
      <x:c r="AF672" s="23"/>
      <x:c r="AG672" s="710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0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0"/>
      <x:c r="AF673" s="23"/>
      <x:c r="AG673" s="710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0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0"/>
      <x:c r="AF674" s="23"/>
      <x:c r="AG674" s="710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0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0"/>
      <x:c r="AF675" s="23"/>
      <x:c r="AG675" s="710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0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0"/>
      <x:c r="AF676" s="23"/>
      <x:c r="AG676" s="710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0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0"/>
      <x:c r="AF677" s="23"/>
      <x:c r="AG677" s="710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0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0"/>
      <x:c r="AF678" s="23"/>
      <x:c r="AG678" s="710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0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0"/>
      <x:c r="AF679" s="23"/>
      <x:c r="AG679" s="710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0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0"/>
      <x:c r="AF680" s="23"/>
      <x:c r="AG680" s="710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0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0"/>
      <x:c r="AF681" s="23"/>
      <x:c r="AG681" s="710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0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0"/>
      <x:c r="AF682" s="23"/>
      <x:c r="AG682" s="710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0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0"/>
      <x:c r="AF683" s="23"/>
      <x:c r="AG683" s="710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0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0"/>
      <x:c r="AF684" s="23"/>
      <x:c r="AG684" s="710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0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0"/>
      <x:c r="AF685" s="23"/>
      <x:c r="AG685" s="710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0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0"/>
      <x:c r="AF686" s="23"/>
      <x:c r="AG686" s="710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0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0"/>
      <x:c r="AF687" s="23"/>
      <x:c r="AG687" s="710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0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0"/>
      <x:c r="AF688" s="23"/>
      <x:c r="AG688" s="710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0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0"/>
      <x:c r="AF689" s="23"/>
      <x:c r="AG689" s="710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0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0"/>
      <x:c r="AF690" s="23"/>
      <x:c r="AG690" s="710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0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0"/>
      <x:c r="AF691" s="23"/>
      <x:c r="AG691" s="710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0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0"/>
      <x:c r="AF692" s="23"/>
      <x:c r="AG692" s="710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0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0"/>
      <x:c r="AF693" s="23"/>
      <x:c r="AG693" s="710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0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0"/>
      <x:c r="AF694" s="23"/>
      <x:c r="AG694" s="710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0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0"/>
      <x:c r="AF695" s="23"/>
      <x:c r="AG695" s="710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0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0"/>
      <x:c r="AF696" s="23"/>
      <x:c r="AG696" s="710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0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0"/>
      <x:c r="AF697" s="23"/>
      <x:c r="AG697" s="710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0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0"/>
      <x:c r="AF698" s="23"/>
      <x:c r="AG698" s="710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0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0"/>
      <x:c r="AF699" s="23"/>
      <x:c r="AG699" s="710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0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0"/>
      <x:c r="AF700" s="23"/>
      <x:c r="AG700" s="710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0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0"/>
      <x:c r="AF701" s="23"/>
      <x:c r="AG701" s="710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0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0"/>
      <x:c r="AF702" s="23"/>
      <x:c r="AG702" s="710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0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0"/>
      <x:c r="AF703" s="23"/>
      <x:c r="AG703" s="710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0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0"/>
      <x:c r="AF704" s="23"/>
      <x:c r="AG704" s="710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0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0"/>
      <x:c r="AF705" s="23"/>
      <x:c r="AG705" s="710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0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0"/>
      <x:c r="AF706" s="23"/>
      <x:c r="AG706" s="710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0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0"/>
      <x:c r="AF707" s="23"/>
      <x:c r="AG707" s="710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0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0"/>
      <x:c r="AF708" s="23"/>
      <x:c r="AG708" s="710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0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0"/>
      <x:c r="AF709" s="23"/>
      <x:c r="AG709" s="710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0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0"/>
      <x:c r="AF710" s="23"/>
      <x:c r="AG710" s="710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0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0"/>
      <x:c r="AF711" s="23"/>
      <x:c r="AG711" s="710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0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0"/>
      <x:c r="AF712" s="23"/>
      <x:c r="AG712" s="710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0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0"/>
      <x:c r="AF713" s="23"/>
      <x:c r="AG713" s="710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0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0"/>
      <x:c r="AF714" s="23"/>
      <x:c r="AG714" s="710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0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0"/>
      <x:c r="AF715" s="23"/>
      <x:c r="AG715" s="710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0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0"/>
      <x:c r="AF716" s="23"/>
      <x:c r="AG716" s="710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0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0"/>
      <x:c r="AF717" s="23"/>
      <x:c r="AG717" s="710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0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0"/>
      <x:c r="AF718" s="23"/>
      <x:c r="AG718" s="710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0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0"/>
      <x:c r="AF719" s="23"/>
      <x:c r="AG719" s="710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0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0"/>
      <x:c r="AF720" s="23"/>
      <x:c r="AG720" s="710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0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0"/>
      <x:c r="AF721" s="23"/>
      <x:c r="AG721" s="710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0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0"/>
      <x:c r="AF722" s="23"/>
      <x:c r="AG722" s="710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0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0"/>
      <x:c r="AF723" s="23"/>
      <x:c r="AG723" s="710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0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0"/>
      <x:c r="AF724" s="23"/>
      <x:c r="AG724" s="710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0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0"/>
      <x:c r="AF725" s="23"/>
      <x:c r="AG725" s="710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0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0"/>
      <x:c r="AF726" s="23"/>
      <x:c r="AG726" s="710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0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0"/>
      <x:c r="AF727" s="23"/>
      <x:c r="AG727" s="710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0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0"/>
      <x:c r="AF728" s="23"/>
      <x:c r="AG728" s="710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0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0"/>
      <x:c r="AF729" s="23"/>
      <x:c r="AG729" s="710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0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0"/>
      <x:c r="AF730" s="23"/>
      <x:c r="AG730" s="710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0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0"/>
      <x:c r="AF731" s="23"/>
      <x:c r="AG731" s="710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0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0"/>
      <x:c r="AF732" s="23"/>
      <x:c r="AG732" s="710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0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0"/>
      <x:c r="AF733" s="23"/>
      <x:c r="AG733" s="710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0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0"/>
      <x:c r="AF734" s="23"/>
      <x:c r="AG734" s="710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0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0"/>
      <x:c r="AF735" s="23"/>
      <x:c r="AG735" s="710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0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0"/>
      <x:c r="AF736" s="23"/>
      <x:c r="AG736" s="710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0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0"/>
      <x:c r="AF737" s="23"/>
      <x:c r="AG737" s="710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0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0"/>
      <x:c r="AF738" s="23"/>
      <x:c r="AG738" s="710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0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0"/>
      <x:c r="AF739" s="23"/>
      <x:c r="AG739" s="710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0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0"/>
      <x:c r="AF740" s="23"/>
      <x:c r="AG740" s="710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0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0"/>
      <x:c r="AF741" s="23"/>
      <x:c r="AG741" s="710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0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0"/>
      <x:c r="AF742" s="23"/>
      <x:c r="AG742" s="710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0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0"/>
      <x:c r="AF743" s="23"/>
      <x:c r="AG743" s="710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0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0"/>
      <x:c r="AF744" s="23"/>
      <x:c r="AG744" s="710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0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0"/>
      <x:c r="AF745" s="23"/>
      <x:c r="AG745" s="710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0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0"/>
      <x:c r="AF746" s="23"/>
      <x:c r="AG746" s="710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0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0"/>
      <x:c r="AF747" s="23"/>
      <x:c r="AG747" s="710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0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0"/>
      <x:c r="AF748" s="23"/>
      <x:c r="AG748" s="710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0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0"/>
      <x:c r="AF749" s="23"/>
      <x:c r="AG749" s="710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0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0"/>
      <x:c r="AF750" s="23"/>
      <x:c r="AG750" s="710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0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0"/>
      <x:c r="AF751" s="23"/>
      <x:c r="AG751" s="710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0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0"/>
      <x:c r="AF752" s="23"/>
      <x:c r="AG752" s="710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0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0"/>
      <x:c r="AF753" s="23"/>
      <x:c r="AG753" s="710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0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0"/>
      <x:c r="AF754" s="23"/>
      <x:c r="AG754" s="710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TitlesOfParts>
    <vt:vector baseType="lpstr" size="13">
      <vt:lpstr>宏1</vt:lpstr>
      <vt:lpstr>csfX8J</vt:lpstr>
      <vt:lpstr>机组效率-换算</vt:lpstr>
      <vt:lpstr>数据导入</vt:lpstr>
      <vt:lpstr>宏1!Print_Area</vt:lpstr>
      <vt:lpstr>宏1!Print_Titles</vt:lpstr>
      <vt:lpstr>csfX8J!Print_Area</vt:lpstr>
      <vt:lpstr>csfX8J!Print_Titles</vt:lpstr>
      <vt:lpstr>机组效率-换算!Print_Area</vt:lpstr>
      <vt:lpstr>机组效率-换算!Print_Titles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2024/09/05 03:48:26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