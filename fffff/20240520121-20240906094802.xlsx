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1" activeTab="7"/>
  </x:bookViews>
  <x:sheets>
    <x:sheet name="宏1" sheetId="48" state="veryHidden" r:id="rId1"/>
    <x:sheet name="检测报告封面" sheetId="62" r:id="rId2"/>
    <x:sheet name="csfX8J" sheetId="47" state="hidden" r:id="rId3"/>
    <x:sheet name="说明" sheetId="63" r:id="rId4"/>
    <x:sheet name="检测报告" sheetId="64" r:id="rId5"/>
    <x:sheet name="机组效率-换算" sheetId="37" r:id="rId6"/>
    <x:sheet name="声明" sheetId="73" r:id="rId14"/>
    <x:sheet name="数据导入" sheetId="35" state="hidden" r:id="rId15"/>
  </x:sheets>
  <x:definedNames>
    <x:definedName name="_xlnm.Print_Area" localSheetId="1">检测报告封面!$A$1:$S$32</x:definedName>
    <x:definedName name="_xlnm.Print_Area" localSheetId="3">说明!$A$1:$S$33</x:definedName>
    <x:definedName name="_xlnm.Print_Area" localSheetId="4">检测报告!$A$1:$X$32</x:definedName>
    <x:definedName name="_xlnm.Print_Area" localSheetId="5">'机组效率-换算'!$A$1:$T$51</x:definedName>
    <x:definedName name="_xlnm.Print_Area" localSheetId="6">声明!$A$1:$J$45</x:definedName>
    <x:definedName name="_xlnm.Print_Area" localSheetId="7">数据导入!$E$1:$AD$32</x:definedName>
  </x:definedNames>
  <x:calcPr calcId="162913"/>
</x:workbook>
</file>

<file path=xl/calcChain.xml><?xml version="1.0" encoding="utf-8"?>
<x:calcChain xmlns:x="http://schemas.openxmlformats.org/spreadsheetml/2006/main">
  <x:c r="M1" i="62"/>
  <x:c r="F10" i="62"/>
  <x:c r="F13" i="62"/>
  <x:c r="F16" i="62"/>
  <x:c r="F19" i="62"/>
  <x:c r="F22" i="62"/>
  <x:c r="A30" i="62"/>
  <x:c r="A31" i="62"/>
  <x:c r="M1" i="63"/>
  <x:c r="B26" i="63"/>
  <x:c r="B27" i="63"/>
  <x:c r="S1" i="64"/>
  <x:c r="A3" i="64"/>
  <x:c r="A4" i="64"/>
  <x:c r="F7" i="64"/>
  <x:c r="R7" i="64"/>
  <x:c r="F9" i="64"/>
  <x:c r="R9" i="64"/>
  <x:c r="F10" i="64"/>
  <x:c r="I10" i="64"/>
  <x:c r="F11" i="64"/>
  <x:c r="R11" i="64"/>
  <x:c r="F13" i="64"/>
  <x:c r="R13" i="64"/>
  <x:c r="F15" i="64"/>
  <x:c r="R15" i="64"/>
  <x:c r="F17" i="64"/>
  <x:c r="R17" i="64"/>
  <x:c r="F19" i="64"/>
  <x:c r="R19" i="64"/>
  <x:c r="F21" i="64"/>
  <x:c r="R21" i="64"/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H1" i="73"/>
  <x:c r="B39" i="73"/>
  <x:c r="B40" i="73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<x:sst xmlns:x="http://schemas.openxmlformats.org/spreadsheetml/2006/main">
  <x:si>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>报告编号(Report No.):</x:t>
  </x:si>
  <x:si>
    <x:t>第1页，共5页；Page 1 of 5</x:t>
  </x:si>
  <x:si>
    <x:t>检 测 报 告</x:t>
  </x:si>
  <x:si>
    <x:t>TEST REPORT</x:t>
  </x:si>
  <x:si>
    <x:t xml:space="preserve">  产品名称</x:t>
  </x:si>
  <x:si>
    <x:r>
      <x:rPr>
        <x:vertAlign val="baseline"/>
        <x:sz val="15"/>
        <x:color indexed="8"/>
        <x:rFont val="黑体"/>
        <x:family val="3"/>
      </x:rPr>
      <x:t xml:space="preserve">  Product Nam</x:t>
    </x:r>
    <x:r>
      <x:rPr>
        <x:vertAlign val="baseline"/>
        <x:sz val="16"/>
        <x:color indexed="8"/>
        <x:rFont val="黑体"/>
        <x:family val="3"/>
      </x:rPr>
      <x:t xml:space="preserve">e </x:t>
    </x:r>
  </x:si>
  <x:si>
    <x:t xml:space="preserve">                                                 </x:t>
  </x:si>
  <x:si>
    <x:t xml:space="preserve">  型    号</x:t>
  </x:si>
  <x:si>
    <x:t xml:space="preserve">  Model        </x:t>
  </x:si>
  <x:si>
    <x:t xml:space="preserve">                                            </x:t>
  </x:si>
  <x:si>
    <x:t xml:space="preserve">  生产单位</x:t>
  </x:si>
  <x:si>
    <x:t xml:space="preserve">  Manufacture by  </x:t>
  </x:si>
  <x:si>
    <x:t xml:space="preserve">                                  </x:t>
  </x:si>
  <x:si>
    <x:t xml:space="preserve">  委托单位</x:t>
  </x:si>
  <x:si>
    <x:t xml:space="preserve">  Client</x:t>
  </x:si>
  <x:si>
    <x:r>
      <x:rPr>
        <x:vertAlign val="baseline"/>
        <x:sz val="16"/>
        <x:color indexed="8"/>
        <x:rFont val="黑体"/>
        <x:family val="3"/>
      </x:rPr>
      <x:t xml:space="preserve">  检测类别</x:t>
    </x:r>
    <x:r>
      <x:rPr>
        <x:vertAlign val="baseline"/>
        <x:sz val="15"/>
        <x:color indexed="8"/>
        <x:rFont val="黑体"/>
        <x:family val="3"/>
      </x:rPr>
      <x:t xml:space="preserve">                   </x:t>
    </x:r>
    <x:r>
      <x:rPr>
        <x:u val="single"/>
        <x:vertAlign val="baseline"/>
        <x:sz val="15"/>
        <x:color indexed="8"/>
        <x:rFont val="黑体"/>
        <x:family val="3"/>
      </x:rPr>
      <x:t xml:space="preserve">         </x:t>
    </x:r>
  </x:si>
  <x:si>
    <x:r>
      <x:rPr>
        <x:vertAlign val="baseline"/>
        <x:sz val="14"/>
        <x:color indexed="8"/>
        <x:rFont val="黑体"/>
        <x:family val="3"/>
      </x:rPr>
      <x:t xml:space="preserve">  T</x:t>
    </x:r>
    <x:r>
      <x:rPr>
        <x:vertAlign val="baseline"/>
        <x:sz val="15"/>
        <x:color indexed="8"/>
        <x:rFont val="黑体"/>
        <x:family val="3"/>
      </x:rPr>
      <x:t>est Category</x:t>
    </x:r>
  </x:si>
  <x:si>
    <x:t>第2页，共5页；Page 2 of 5</x:t>
  </x:si>
  <x:si>
    <x:t>说 　明</x:t>
  </x:si>
  <x:si>
    <x:t>DIRECTIONS</x:t>
  </x:si>
  <x:si>
    <x:r>
      <x:rPr>
        <x:vertAlign val="baseline"/>
        <x:sz val="10.5"/>
        <x:color rgb="FF000000"/>
        <x:rFont val="Times New Roman"/>
        <x:family val="1"/>
      </x:rPr>
      <x:t>1.</x:t>
    </x:r>
    <x:r>
      <x:rPr>
        <x:vertAlign val="baseline"/>
        <x:sz val="7"/>
        <x:color rgb="FF000000"/>
        <x:rFont val="Times New Roman"/>
        <x:family val="1"/>
      </x:rPr>
      <x:t xml:space="preserve">       </x:t>
    </x:r>
    <x:r>
      <x:rPr>
        <x:vertAlign val="baseline"/>
        <x:sz val="10.5"/>
        <x:color rgb="FF000000"/>
        <x:rFont val="宋体"/>
        <x:family val="3"/>
      </x:rPr>
      <x:t>本次检测所使用的主要仪器：</x:t>
    </x:r>
  </x:si>
  <x:si>
    <x:t xml:space="preserve">       Major instruments of used in the testing:</x:t>
  </x:si>
  <x:si>
    <x:r>
      <x:rPr>
        <x:b/>
        <x:vertAlign val="baseline"/>
        <x:sz val="10.5"/>
        <x:color indexed="8"/>
        <x:rFont val="宋体"/>
        <x:family val="3"/>
      </x:rPr>
      <x:t xml:space="preserve">设备名称
</x:t>
    </x:r>
    <x:r>
      <x:rPr>
        <x:b/>
        <x:vertAlign val="baseline"/>
        <x:sz val="10.5"/>
        <x:color indexed="8"/>
        <x:rFont val="Arial"/>
        <x:family val="2"/>
      </x:rPr>
      <x:t>Name of Equipment</x:t>
    </x:r>
  </x:si>
  <x:si>
    <x:r>
      <x:rPr>
        <x:b/>
        <x:vertAlign val="baseline"/>
        <x:sz val="10.5"/>
        <x:color indexed="8"/>
        <x:rFont val="宋体"/>
        <x:family val="3"/>
      </x:rPr>
      <x:t xml:space="preserve">型号
</x:t>
    </x:r>
    <x:r>
      <x:rPr>
        <x:b/>
        <x:vertAlign val="baseline"/>
        <x:sz val="10.5"/>
        <x:color indexed="8"/>
        <x:rFont val="Arial"/>
        <x:family val="2"/>
      </x:rPr>
      <x:t>Model</x:t>
    </x:r>
  </x:si>
  <x:si>
    <x:r>
      <x:rPr>
        <x:b/>
        <x:vertAlign val="baseline"/>
        <x:sz val="10.5"/>
        <x:color indexed="8"/>
        <x:rFont val="宋体"/>
        <x:family val="3"/>
      </x:rPr>
      <x:t xml:space="preserve">计量有效期
</x:t>
    </x:r>
    <x:r>
      <x:rPr>
        <x:b/>
        <x:vertAlign val="baseline"/>
        <x:sz val="10.5"/>
        <x:color indexed="8"/>
        <x:rFont val="Arial"/>
        <x:family val="2"/>
      </x:rPr>
      <x:t>Due Date for measurement</x:t>
    </x:r>
  </x:si>
  <x:si>
    <x:r>
      <x:rPr>
        <x:b/>
        <x:vertAlign val="baseline"/>
        <x:sz val="10.5"/>
        <x:color indexed="8"/>
        <x:rFont val="宋体"/>
        <x:family val="3"/>
      </x:rPr>
      <x:t>证书编号</x:t>
    </x:r>
    <x:r>
      <x:rPr>
        <x:b/>
        <x:vertAlign val="baseline"/>
        <x:sz val="10.5"/>
        <x:color indexed="8"/>
        <x:rFont val="Times New Roman"/>
        <x:family val="1"/>
      </x:rPr>
      <x:t xml:space="preserve">
Certificate No.</x:t>
    </x:r>
  </x:si>
  <x:si>
    <x:t>智能流量转速测量仪</x:t>
  </x:si>
  <x:si>
    <x:t>流量计</x:t>
  </x:si>
  <x:si>
    <x:t>智能压力测量仪</x:t>
  </x:si>
  <x:si>
    <x:t>压力表</x:t>
  </x:si>
  <x:si>
    <x:t>智能压力变送器</x:t>
  </x:si>
  <x:si>
    <x:r>
      <x:rPr>
        <x:vertAlign val="baseline"/>
        <x:sz val="10.5"/>
        <x:color indexed="8"/>
        <x:rFont val="宋体"/>
        <x:family val="3"/>
      </x:rPr>
      <x:t>三相</x:t>
    </x:r>
    <x:r>
      <x:rPr>
        <x:vertAlign val="baseline"/>
        <x:sz val="10.5"/>
        <x:color indexed="8"/>
        <x:rFont val="Times New Roman"/>
        <x:family val="1"/>
      </x:rPr>
      <x:t>PWM</x:t>
    </x:r>
    <x:r>
      <x:rPr>
        <x:vertAlign val="baseline"/>
        <x:sz val="10.5"/>
        <x:color indexed="8"/>
        <x:rFont val="宋体"/>
        <x:family val="3"/>
      </x:rPr>
      <x:t>专用测试仪</x:t>
    </x:r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</x:si>
  <x:si>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检测地点、环境条件：</x:t>
    </x:r>
  </x:si>
  <x:si>
    <x:t xml:space="preserve">      Place and environmental condition of the testing:</x:t>
  </x:si>
  <x:si>
    <x:r>
      <x:rPr>
        <x:vertAlign val="baseline"/>
        <x:sz val="10.5"/>
        <x:color indexed="8"/>
        <x:rFont val="Times New Roman"/>
        <x:family val="1"/>
      </x:rPr>
      <x:t xml:space="preserve">     </x:t>
    </x:r>
    <x:r>
      <x:rPr>
        <x:vertAlign val="baseline"/>
        <x:sz val="10.5"/>
        <x:color indexed="8"/>
        <x:rFont val="宋体"/>
        <x:family val="3"/>
      </x:rPr>
      <x:t>温度：</x:t>
    </x:r>
    <x:r>
      <x:rPr>
        <x:vertAlign val="baseline"/>
        <x:sz val="10.5"/>
        <x:color indexed="8"/>
        <x:rFont val="Times New Roman"/>
        <x:family val="1"/>
      </x:rPr>
      <x:t xml:space="preserve">                                         </x:t>
    </x:r>
  </x:si>
  <x:si>
    <x:t xml:space="preserve">  湿度：　</x:t>
  </x:si>
  <x:si>
    <x:r>
      <x:rPr>
        <x:vertAlign val="baseline"/>
        <x:sz val="10.5"/>
        <x:color indexed="8"/>
        <x:rFont val="Arial"/>
        <x:family val="2"/>
      </x:rPr>
      <x:t xml:space="preserve">     Temperature : </x:t>
    </x:r>
    <x:r>
      <x:rPr>
        <x:u val="single"/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 xml:space="preserve">    </x:t>
    </x:r>
  </x:si>
  <x:si>
    <x:r>
      <x:rPr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>℃</x:t>
    </x:r>
    <x:r>
      <x:rPr>
        <x:vertAlign val="baseline"/>
        <x:sz val="10.5"/>
        <x:color indexed="8"/>
        <x:rFont val="Arial"/>
        <x:family val="2"/>
      </x:rPr>
      <x:t xml:space="preserve">   </x:t>
    </x:r>
  </x:si>
  <x:si>
    <x:r>
      <x:rPr>
        <x:vertAlign val="baseline"/>
        <x:sz val="10.5"/>
        <x:color indexed="8"/>
        <x:rFont val="Arial"/>
        <x:family val="2"/>
      </x:rPr>
      <x:t xml:space="preserve">    RH: </x:t>
    </x:r>
    <x:r>
      <x:rPr>
        <x:vertAlign val="baseline"/>
        <x:sz val="10.5"/>
        <x:color indexed="8"/>
        <x:rFont val="宋体"/>
        <x:family val="3"/>
      </x:rPr>
      <x:t>　</x:t>
    </x:r>
    <x:r>
      <x:rPr>
        <x:vertAlign val="baseline"/>
        <x:sz val="10.5"/>
        <x:color indexed="8"/>
        <x:rFont val="Arial"/>
        <x:family val="2"/>
      </x:rPr>
      <x:t xml:space="preserve"> </x:t>
    </x:r>
  </x:si>
  <x:si>
    <x:t>%</x:t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</x:si>
  <x:si>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备注</x:t>
    </x:r>
    <x:r>
      <x:rPr>
        <x:vertAlign val="baseline"/>
        <x:sz val="10.5"/>
        <x:color indexed="8"/>
        <x:rFont val="Times New Roman"/>
        <x:family val="1"/>
      </x:rPr>
      <x:t>:</x:t>
    </x:r>
  </x:si>
  <x:si>
    <x:r>
      <x:rPr>
        <x:vertAlign val="baseline"/>
        <x:sz val="10.5"/>
        <x:color indexed="8"/>
        <x:rFont val="Arial"/>
        <x:family val="2"/>
      </x:rPr>
      <x:t xml:space="preserve">     Remarks:</x:t>
    </x:r>
    <x:r>
      <x:rPr>
        <x:u val="single"/>
        <x:vertAlign val="baseline"/>
        <x:sz val="10.5"/>
        <x:color indexed="8"/>
        <x:rFont val="宋体"/>
        <x:family val="3"/>
      </x:rPr>
      <x:t>　　</x:t>
    </x:r>
    <x:r>
      <x:rPr>
        <x:u val="single"/>
        <x:vertAlign val="baseline"/>
        <x:sz val="10.5"/>
        <x:color indexed="8"/>
        <x:rFont val="Arial"/>
        <x:family val="2"/>
      </x:rPr>
      <x:t xml:space="preserve">   </x:t>
    </x:r>
    <x:r>
      <x:rPr>
        <x:u val="single"/>
        <x:vertAlign val="baseline"/>
        <x:sz val="10.5"/>
        <x:color indexed="8"/>
        <x:rFont val="宋体"/>
        <x:family val="3"/>
      </x:rPr>
      <x:t>　　　　　　　　　　　　　　　　　　　　　　　　　　　　　　　　　　　</x:t>
    </x:r>
  </x:si>
  <x:si>
    <x:t>报告编号(Report No.）:</x:t>
  </x:si>
  <x:si>
    <x:t>第3页，共5页；Page 3 of 5</x:t>
  </x:si>
  <x:si>
    <x:t>产品名称</x:t>
  </x:si>
  <x:si>
    <x:t>检测类别</x:t>
  </x:si>
  <x:si>
    <x:t>Product</x:t>
  </x:si>
  <x:si>
    <x:t>Test Category</x:t>
  </x:si>
  <x:si>
    <x:t>型号规格</x:t>
  </x:si>
  <x:si>
    <x:r>
      <x:rPr>
        <x:vertAlign val="baseline"/>
        <x:sz val="14"/>
        <x:color rgb="FF000000"/>
        <x:rFont val="宋体"/>
        <x:family val="3"/>
      </x:rPr>
      <x:t>商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标</x:t>
    </x:r>
  </x:si>
  <x:si>
    <x:t>Model</x:t>
  </x:si>
  <x:si>
    <x:t>/</x:t>
  </x:si>
  <x:si>
    <x:t>Trademark</x:t>
  </x:si>
  <x:si>
    <x:r>
      <x:rPr>
        <x:vertAlign val="baseline"/>
        <x:sz val="14"/>
        <x:color rgb="FF000000"/>
        <x:rFont val="宋体"/>
        <x:family val="3"/>
      </x:rPr>
      <x:t>批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号</x:t>
    </x:r>
  </x:si>
  <x:si>
    <x:t>生产日期</x:t>
  </x:si>
  <x:si>
    <x:t>Serial No.</x:t>
  </x:si>
  <x:si>
    <x:t>Date of Manufacture</x:t>
  </x:si>
  <x:si>
    <x:t>委托单位</x:t>
  </x:si>
  <x:si>
    <x:t>抽样地点</x:t>
  </x:si>
  <x:si>
    <x:t>Client</x:t>
  </x:si>
  <x:si>
    <x:t>Sample Location</x:t>
  </x:si>
  <x:si>
    <x:t>生产单位</x:t>
  </x:si>
  <x:si>
    <x:t>抽样人员</x:t>
  </x:si>
  <x:si>
    <x:t>Manufacture by</x:t>
  </x:si>
  <x:si>
    <x:t>Sampling personnel</x:t>
  </x:si>
  <x:si>
    <x:t>抽样基数</x:t>
  </x:si>
  <x:si>
    <x:t>抽样日期</x:t>
  </x:si>
  <x:si>
    <x:t>Number of Samples</x:t>
  </x:si>
  <x:si>
    <x:t>Sampling Date</x:t>
  </x:si>
  <x:si>
    <x:t>样品数量</x:t>
  </x:si>
  <x:si>
    <x:t>收样日期</x:t>
  </x:si>
  <x:si>
    <x:t>Sample Quantity</x:t>
  </x:si>
  <x:si>
    <x:t>Date of Receipt</x:t>
  </x:si>
  <x:si>
    <x:t>样品状态</x:t>
  </x:si>
  <x:si>
    <x:t>检测日期</x:t>
  </x:si>
  <x:si>
    <x:t>Sample Status</x:t>
  </x:si>
  <x:si>
    <x:t>Test Date</x:t>
  </x:si>
  <x:si>
    <x:r>
      <x:rPr>
        <x:vertAlign val="baseline"/>
        <x:sz val="14"/>
        <x:color rgb="FF000000"/>
        <x:rFont val="宋体"/>
        <x:family val="3"/>
      </x:rPr>
      <x:t>检测依据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Requirements</x:t>
    </x:r>
  </x:si>
  <x:si>
    <x:t>1、GB3216-2016《回转动力泵 水力性能验收试验 1级、2级和3级》</x:t>
  </x:si>
  <x:si>
    <x:r>
      <x:rPr>
        <x:vertAlign val="baseline"/>
        <x:sz val="14"/>
        <x:color rgb="FF000000"/>
        <x:rFont val="宋体"/>
        <x:family val="3"/>
      </x:rPr>
      <x:t>检测结论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Summary</x:t>
    </x:r>
  </x:si>
  <x:si>
    <x:r>
      <x:rPr>
        <x:vertAlign val="baseline"/>
        <x:sz val="12"/>
        <x:color rgb="FF000000"/>
        <x:rFont val="宋体"/>
        <x:family val="3"/>
      </x:rPr>
      <x:t>依据上述检测依据，对所送样品进行检测，来样所测项目见检测结果。</x:t>
    </x:r>
    <x:r>
      <x:rPr>
        <x:vertAlign val="baseline"/>
        <x:sz val="12"/>
        <x:color rgb="FF000000"/>
        <x:rFont val="Times New Roman"/>
        <x:family val="1"/>
      </x:rPr>
      <x:t xml:space="preserve"> </x:t>
    </x:r>
  </x:si>
  <x:si>
    <x:t xml:space="preserve">                                （检测报告专用章）</x:t>
  </x:si>
  <x:si>
    <x:t>签发日期：</x:t>
  </x:si>
  <x:si>
    <x:r>
      <x:rPr>
        <x:vertAlign val="baseline"/>
        <x:sz val="14"/>
        <x:color indexed="8"/>
        <x:rFont val="宋体"/>
        <x:family val="3"/>
      </x:rPr>
      <x:t>备</x:t>
    </x:r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注</x:t>
    </x:r>
    <x:r>
      <x:rPr>
        <x:vertAlign val="baseline"/>
        <x:sz val="11"/>
        <x:color indexed="8"/>
        <x:rFont val="宋体"/>
        <x:family val="3"/>
      </x:rPr>
      <x:t xml:space="preserve">
</x:t>
    </x:r>
    <x:r>
      <x:rPr>
        <x:vertAlign val="baseline"/>
        <x:sz val="11"/>
        <x:color indexed="8"/>
        <x:rFont val="Times New Roman"/>
        <x:family val="1"/>
      </x:rPr>
      <x:t>Remarks</x:t>
    </x:r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</x:si>
  <x:si>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</x:si>
  <x:si>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</x:si>
  <x:si>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</x:si>
  <x:si>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</x:si>
  <x:si>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</x:si>
  <x:si>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</x:si>
  <x:si>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</x:si>
  <x:si>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</x:si>
  <x:si>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</x:si>
  <x:si>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</x:si>
  <x:si>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</x:si>
  <x:si>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</x:si>
  <x:si>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</x:si>
  <x:si>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</x:si>
  <x:si>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</x:si>
  <x:si>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</x:si>
  <x:si>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</x:si>
  <x:si>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</x:si>
  <x:si>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</x:si>
  <x:si>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</x:si>
  <x:si>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</x:si>
  <x:si>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</x:si>
  <x:si>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</x:si>
  <x:si>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</x:si>
  <x:si>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</x:si>
  <x:si>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</x:si>
  <x:si>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</x:si>
  <x:si>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</x:si>
  <x:si>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</x:si>
  <x:si>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</x:si>
  <x:si>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</x:si>
  <x:si>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</x:si>
  <x:si>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</x:si>
  <x:si>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</x:si>
  <x:si>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</x:si>
  <x:si>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</x:si>
  <x:si>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</x:si>
  <x:si>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</x:si>
  <x:si>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</x:si>
  <x:si>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</x:si>
  <x:si>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</x:si>
  <x:si>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</x:si>
  <x:si>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</x:si>
  <x:si>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</x:si>
  <x:si>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</x:si>
  <x:si>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</x:si>
  <x:si>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</x:si>
  <x:si>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</x:si>
  <x:si>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</x:si>
  <x:si>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</x:si>
  <x:si>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</x:si>
  <x:si>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</x:si>
  <x:si>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</x:si>
  <x:si>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</x:si>
  <x:si>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</x:si>
  <x:si>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</x:si>
  <x:si>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</x:si>
  <x:si>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</x:si>
  <x:si>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</x:si>
  <x:si>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</x:si>
  <x:si>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</x:si>
  <x:si>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</x:si>
  <x:si>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</x:si>
  <x:si>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</x:si>
  <x:si>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</x:si>
  <x:si>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</x:si>
  <x:si>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</x:si>
  <x:si>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</x:si>
  <x:si>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</x:si>
  <x:si>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</x:si>
  <x:si>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</x:si>
  <x:si>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</x:si>
  <x:si>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</x:si>
  <x:si>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</x:si>
  <x:si>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</x:si>
  <x:si>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</x:si>
  <x:si>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报告编号（Report No.）:</x:t>
  </x:si>
  <x:si>
    <x:t xml:space="preserve">                 声　　明</x:t>
  </x:si>
  <x:si>
    <x:t xml:space="preserve">                                           Statements</x:t>
  </x:si>
  <x:si>
    <x:r>
      <x:rPr>
        <x:vertAlign val="baseline"/>
        <x:sz val="10.5"/>
        <x:color indexed="8"/>
        <x:rFont val="Times New Roman"/>
        <x:family val="1"/>
      </x:rPr>
      <x:t>1.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报告的检测结果只与被检测的项目有关。</x:t>
    </x:r>
  </x:si>
  <x:si>
    <x:t xml:space="preserve">     The results of the testing relate only to the items that tested.</x:t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</x:si>
  <x:si>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报告有效期为</x:t>
    </x:r>
    <x:r>
      <x:rPr>
        <x:vertAlign val="baseline"/>
        <x:sz val="10.5"/>
        <x:color indexed="8"/>
        <x:rFont val="Times New Roman"/>
        <x:family val="1"/>
      </x:rPr>
      <x:t>12</x:t>
    </x:r>
    <x:r>
      <x:rPr>
        <x:vertAlign val="baseline"/>
        <x:sz val="10.5"/>
        <x:color indexed="8"/>
        <x:rFont val="宋体"/>
        <x:family val="3"/>
      </x:rPr>
      <x:t>个月。</x:t>
    </x:r>
  </x:si>
  <x:si>
    <x:r>
      <x:rPr>
        <x:vertAlign val="baseline"/>
        <x:sz val="10.5"/>
        <x:color indexed="8"/>
        <x:rFont val="Arial"/>
        <x:family val="2"/>
      </x:rPr>
      <x:t xml:space="preserve">    </x:t>
    </x:r>
    <x:r>
      <x:rPr>
        <x:vertAlign val="baseline"/>
        <x:sz val="10.5"/>
        <x:color indexed="8"/>
        <x:rFont val="Times New Roman"/>
        <x:family val="1"/>
      </x:rPr>
      <x:t xml:space="preserve"> </x:t>
    </x:r>
    <x:r>
      <x:rPr>
        <x:vertAlign val="baseline"/>
        <x:sz val="10.5"/>
        <x:color indexed="8"/>
        <x:rFont val="Arial"/>
        <x:family val="2"/>
      </x:rPr>
      <x:t>The validity of this test report is 12 months.</x:t>
    </x:r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</x:si>
  <x:si>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报告无“检测报告专用章”或检测单位公章无效。</x:t>
    </x:r>
  </x:si>
  <x:si>
    <x:t xml:space="preserve">     Test report is invalid without the “Special Seal of Test Report” or that of test unit on it.</x:t>
  </x:si>
  <x:si>
    <x:r>
      <x:rPr>
        <x:vertAlign val="baseline"/>
        <x:sz val="10.5"/>
        <x:color indexed="8"/>
        <x:rFont val="Times New Roman"/>
        <x:family val="1"/>
      </x:rPr>
      <x:t>4.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报告无主检、审核、批准人签章无效。</x:t>
    </x:r>
  </x:si>
  <x:si>
    <x:t xml:space="preserve">     Test report is invalid without the signature of the chief tester, examiner and approver.</x:t>
  </x:si>
  <x:si>
    <x:r>
      <x:rPr>
        <x:vertAlign val="baseline"/>
        <x:sz val="10.5"/>
        <x:color indexed="8"/>
        <x:rFont val="Times New Roman"/>
        <x:family val="1"/>
      </x:rPr>
      <x:t>5.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报告随意涂改复印无效，如复印需经本中心同意并加盖公章。</x:t>
    </x:r>
  </x:si>
  <x:si>
    <x:t xml:space="preserve">     Test report is invalid if randomly altered or duplicated .The consent and seal of this Center is 
required for any duplication.</x:t>
  </x:si>
  <x:si>
    <x:r>
      <x:rPr>
        <x:vertAlign val="baseline"/>
        <x:sz val="10.5"/>
        <x:color indexed="8"/>
        <x:rFont val="Times New Roman"/>
        <x:family val="1"/>
      </x:rPr>
      <x:t>6.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委托检测仅对来样负责。</x:t>
    </x:r>
  </x:si>
  <x:si>
    <x:t xml:space="preserve">     For entrusted tests, this Center is only responsible for the delivered samples.</x:t>
  </x:si>
  <x:si>
    <x:r>
      <x:rPr>
        <x:vertAlign val="baseline"/>
        <x:sz val="10.5"/>
        <x:color indexed="8"/>
        <x:rFont val="Times New Roman"/>
        <x:family val="1"/>
      </x:rPr>
      <x:t>7.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对检测报告若有异议，应于收到报告之日起十五日内向检测单位提出，逾期不予受理。</x:t>
    </x:r>
  </x:si>
  <x:si>
    <x:t xml:space="preserve">     For any claim of the report, just refer to the testing unit in 15 days, in case it is not in the above
limited time, the claim shall be dismissed. </x:t>
  </x:si>
  <x:si>
    <x:r>
      <x:rPr>
        <x:vertAlign val="baseline"/>
        <x:sz val="10.5"/>
        <x:color theme="1"/>
        <x:rFont val="Times New Roman"/>
        <x:family val="1"/>
      </x:rPr>
      <x:t xml:space="preserve">8.   </x:t>
    </x:r>
    <x:r>
      <x:rPr>
        <x:vertAlign val="baseline"/>
        <x:sz val="10.5"/>
        <x:color theme="1"/>
        <x:rFont val="宋体"/>
        <x:family val="3"/>
      </x:rPr>
      <x:t>报告中</x:t>
    </x:r>
    <x:r>
      <x:rPr>
        <x:vertAlign val="baseline"/>
        <x:sz val="10.5"/>
        <x:color theme="1"/>
        <x:rFont val="Times New Roman"/>
        <x:family val="1"/>
      </x:rPr>
      <x:t>“—”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“N”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不适用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未检测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“P”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合格或通过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“F”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不合格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。</x:t>
    </x:r>
  </x:si>
  <x:si>
    <x:r>
      <x:rPr>
        <x:vertAlign val="baseline"/>
        <x:sz val="10.5"/>
        <x:color theme="1"/>
        <x:rFont val="Arial"/>
        <x:family val="2"/>
      </x:rPr>
      <x:t xml:space="preserve">     As for the test  report, “—”or “N” means “not applicable” , 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Arial"/>
        <x:family val="2"/>
      </x:rPr>
      <x:t xml:space="preserve"> ”means “not test”“P”means “pass” and “F” means “fail”.</x:t>
    </x:r>
  </x:si>
  <x:si>
    <x:r>
      <x:rPr>
        <x:vertAlign val="baseline"/>
        <x:sz val="10"/>
        <x:color indexed="8"/>
        <x:rFont val="黑体"/>
        <x:family val="3"/>
      </x:rPr>
      <x:t>地址/ADD：湖北东湖实验室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</x:si>
  <x:si>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HuBei East Lake LB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</x:si>
  <x:si>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电话/Tel：     邮政编码/ Postal Code：</x:t>
    </x:r>
    <x:phoneticPr fontId="0" type="noConversion"/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</x:si>
  <x:si>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</x:si>
  <x:si>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</x:si>
  <x:si>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</x:si>
  <x:si>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</x:si>
  <x:si>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</x:si>
  <x:si>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</x:si>
  <x:si>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</x:si>
  <x:si>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</x:si>
  <x:si>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</x:si>
  <x:si>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</x:si>
  <x:si>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</x:si>
  <x:si>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</x:si>
  <x:si>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</x:si>
  <x:si>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</x:si>
  <x:si>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</x:si>
  <x:si>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</x:si>
  <x:si>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</x:si>
  <x:si>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2024.09.06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</x:si>
  <x:si>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</x:si>
  <x:si>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</x:si>
  <x:si>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</x:si>
  <x:si>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</x:si>
  <x:si>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</x:si>
  <x:si>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</x:si>
  <x:si>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</x:si>
  <x:si>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</x:si>
  <x:si>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</x:si>
  <x:si>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</x:si>
  <x:si>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</x:si>
  <x:si>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</x:si>
  <x:si>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</x:si>
  <x:si>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</x:si>
  <x:si>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</x:si>
  <x:si>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</x:si>
  <x:si>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</x:si>
  <x:si>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</x:si>
  <x:si>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</x:si>
  <x:si>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</x:si>
  <x:si>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</x:si>
  <x:si>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</x:si>
  <x:si>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</x:si>
  <x:si>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</x:si>
  <x:si>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</x:si>
  <x:si>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</x:si>
  <x:si>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</x:si>
  <x:si>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</x:si>
  <x:si>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</x:si>
  <x:si>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</x:si>
  <x:si>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</x:si>
  <x:si>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</x:si>
  <x:si>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</x:si>
  <x:si>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</x:si>
  <x:si>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</x:si>
  <x:si>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</x:si>
  <x:si>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</x:si>
  <x:si>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</x:si>
  <x:si>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</x:si>
  <x:si>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</x:si>
  <x:si>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</x:si>
  <x:si>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</x:si>
  <x:si>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</x:si>
  <x:si>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</x:si>
  <x:si>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</x:si>
  <x:si>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</x:si>
  <x:si>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</x:si>
  <x:si>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</x:si>
  <x:si>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</x:si>
  <x:si>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</x:si>
  <x:si>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</x:si>
  <x:si>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</x:si>
  <x:si>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</x:si>
  <x:si>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</x:si>
  <x:si>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</x:si>
  <x:si>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</x:si>
  <x:si>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</x:si>
  <x:si>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</x:si>
  <x:si>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</x:si>
  <x:si>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</x:si>
  <x:si>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</x:si>
  <x:si>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</x:si>
  <x:si>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</x:si>
  <x:si>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</x:si>
  <x:si>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</x:si>
  <x:si>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</x:si>
  <x:si>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</x:si>
  <x:si>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</x:si>
  <x:si>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</x:si>
  <x:si>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</x:si>
  <x:si>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</x:si>
  <x:si>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</x:si>
  <x:si>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</x:si>
  <x:si>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</x:si>
  <x:si>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</x:si>
  <x:si>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</x:si>
  <x:si>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</x:si>
  <x:si>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批号1</x:t>
  </x:si>
  <x:si>
    <x:t>效率容差</x:t>
  </x:si>
  <x:si>
    <x:t>制造单位</x:t>
  </x:si>
  <x:si>
    <x:t>制造单位1</x:t>
  </x:si>
  <x:si>
    <x:t>1</x:t>
  </x:si>
  <x:si>
    <x:t>功率容差</x:t>
  </x:si>
  <x:si>
    <x:t>良好</x:t>
  </x:si>
  <x:si>
    <x:t>委托单位1</x:t>
  </x:si>
  <x:si>
    <x:t>燃油消耗率</x:t>
  </x:si>
  <x:si>
    <x:t>三联</x:t>
  </x:si>
  <x:si>
    <x:t>标准</x:t>
  </x:si>
  <x:si>
    <x:t>GB/T 3216-2016</x:t>
  </x:si>
  <x:si>
    <x:t>[g/(kW.h)]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</x:si>
  <x:si>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</x:si>
  <x:si>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</x:si>
  <x:si>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</x:si>
  <x:si>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</x:si>
  <x:si>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</x:si>
  <x:si>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</x:si>
  <x:si>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</x:si>
  <x:si>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</x:si>
  <x:si>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2024.3</x:t>
  </x:si>
  <x:si>
    <x:t>效率判定</x:t>
  </x:si>
  <x:si>
    <x:t>效率合格</x:t>
  </x:si>
  <x:si>
    <x:t>电机电流（A）</x:t>
  </x:si>
  <x:si>
    <x:t>功率判定</x:t>
  </x:si>
  <x:si>
    <x:t>功率合格</x:t>
  </x:si>
  <x:si>
    <x:t>额定机组效率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</x:si>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</x:sst>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425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5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79" fillId="0" borderId="0" applyNumberFormat="1" applyFill="1" applyBorder="0" applyAlignment="1" applyProtection="1">
      <x:protection locked="1" hidden="0"/>
    </x:xf>
    <x:xf numFmtId="0" fontId="80" fillId="0" borderId="0" applyNumberFormat="1" applyFill="1" applyBorder="0" applyAlignment="1" applyProtection="1">
      <x:protection locked="1" hidden="0"/>
    </x:xf>
    <x:xf numFmtId="0" fontId="77" fillId="0" borderId="0" applyNumberFormat="1" applyFill="1" applyBorder="0" applyAlignment="1" applyProtection="1">
      <x:protection locked="1" hidden="0"/>
    </x:xf>
    <x:xf numFmtId="0" fontId="81" fillId="0" borderId="0" applyNumberFormat="1" applyFill="1" applyBorder="0" applyAlignment="1" applyProtection="1">
      <x:protection locked="1" hidden="0"/>
    </x:xf>
    <x:xf numFmtId="0" fontId="82" fillId="0" borderId="0" applyNumberFormat="1" applyFill="1" applyBorder="0" applyAlignment="1" applyProtection="1">
      <x:protection locked="1" hidden="0"/>
    </x:xf>
    <x:xf numFmtId="0" fontId="83" fillId="0" borderId="0" applyNumberFormat="1" applyFill="1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84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73" fillId="0" borderId="0" applyNumberFormat="1" applyFill="1" applyBorder="0" applyAlignment="1" applyProtection="1">
      <x:protection locked="1" hidden="0"/>
    </x:xf>
    <x:xf numFmtId="0" fontId="74" fillId="0" borderId="0" applyNumberFormat="1" applyFill="1" applyBorder="0" applyAlignment="1" applyProtection="1">
      <x:protection locked="1" hidden="0"/>
    </x:xf>
    <x:xf numFmtId="0" fontId="75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76" fillId="0" borderId="0" applyNumberFormat="1" applyFill="1" applyBorder="0" applyAlignment="1" applyProtection="1">
      <x:protection locked="1" hidden="0"/>
    </x:xf>
    <x:xf numFmtId="0" fontId="7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14" fontId="29" fillId="0" borderId="0" applyNumberFormat="1" applyFill="1" applyBorder="0" applyAlignment="1" applyProtection="1">
      <x:protection locked="1" hidden="0"/>
    </x:xf>
    <x:xf numFmtId="0" fontId="70" fillId="0" borderId="0" applyNumberFormat="1" applyFill="1" applyBorder="0" applyAlignment="1" applyProtection="1">
      <x:protection locked="1" hidden="0"/>
    </x:xf>
    <x:xf numFmtId="0" fontId="63" fillId="0" borderId="0" applyNumberFormat="1" applyFill="1" applyBorder="0" applyAlignment="1" applyProtection="1">
      <x:protection locked="1" hidden="0"/>
    </x:xf>
    <x:xf numFmtId="0" fontId="68" fillId="0" borderId="0" applyNumberFormat="1" applyFill="1" applyBorder="0" applyAlignment="1" applyProtection="1">
      <x:protection locked="1" hidden="0"/>
    </x:xf>
    <x:xf numFmtId="0" fontId="64" fillId="0" borderId="0" applyNumberFormat="1" applyFill="1" applyBorder="0" applyAlignment="1" applyProtection="1">
      <x:protection locked="1" hidden="0"/>
    </x:xf>
    <x:xf numFmtId="0" fontId="65" fillId="0" borderId="0" applyNumberFormat="1" applyFill="1" applyBorder="0" applyAlignment="1" applyProtection="1">
      <x:protection locked="1" hidden="0"/>
    </x:xf>
    <x:xf numFmtId="0" fontId="66" fillId="0" borderId="0" applyNumberFormat="1" applyFill="1" applyBorder="0" applyAlignment="1" applyProtection="1">
      <x:protection locked="1" hidden="0"/>
    </x:xf>
    <x:xf numFmtId="0" fontId="67" fillId="0" borderId="25" applyNumberFormat="1" applyFill="1" applyBorder="1" applyAlignment="1" applyProtection="1">
      <x:protection locked="1" hidden="0"/>
    </x:xf>
    <x:xf numFmtId="0" fontId="67" fillId="0" borderId="15" applyNumberFormat="1" applyFill="1" applyBorder="1" applyAlignment="1" applyProtection="1">
      <x:protection locked="1" hidden="0"/>
    </x:xf>
    <x:xf numFmtId="0" fontId="67" fillId="0" borderId="26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68" fillId="0" borderId="15" applyNumberFormat="1" applyFill="1" applyBorder="1" applyAlignment="1" applyProtection="1">
      <x:protection locked="1" hidden="0"/>
    </x:xf>
    <x:xf numFmtId="0" fontId="68" fillId="0" borderId="26" applyNumberFormat="1" applyFill="1" applyBorder="1" applyAlignment="1" applyProtection="1">
      <x:protection locked="1" hidden="0"/>
    </x:xf>
    <x:xf numFmtId="0" fontId="68" fillId="0" borderId="25" applyNumberFormat="1" applyFill="1" applyBorder="1" applyAlignment="1" applyProtection="1">
      <x:protection locked="1" hidden="0"/>
    </x:xf>
    <x:xf numFmtId="0" fontId="22" fillId="0" borderId="43" applyNumberFormat="1" applyFill="1" applyBorder="1" applyAlignment="1" applyProtection="1">
      <x:protection locked="1" hidden="0"/>
    </x:xf>
    <x:xf numFmtId="0" fontId="22" fillId="0" borderId="53" applyNumberFormat="1" applyFill="1" applyBorder="1" applyAlignment="1" applyProtection="1">
      <x:protection locked="1" hidden="0"/>
    </x:xf>
    <x:xf numFmtId="0" fontId="22" fillId="0" borderId="44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68" fillId="0" borderId="43" applyNumberFormat="1" applyFill="1" applyBorder="1" applyAlignment="1" applyProtection="1">
      <x:protection locked="1" hidden="0"/>
    </x:xf>
    <x:xf numFmtId="0" fontId="68" fillId="0" borderId="53" applyNumberFormat="1" applyFill="1" applyBorder="1" applyAlignment="1" applyProtection="1">
      <x:protection locked="1" hidden="0"/>
    </x:xf>
    <x:xf numFmtId="0" fontId="68" fillId="0" borderId="44" applyNumberFormat="1" applyFill="1" applyBorder="1" applyAlignment="1" applyProtection="1">
      <x:protection locked="1" hidden="0"/>
    </x:xf>
    <x:xf numFmtId="0" fontId="21" fillId="0" borderId="37" applyNumberFormat="1" applyFill="1" applyBorder="1" applyAlignment="1" applyProtection="1">
      <x:protection locked="1" hidden="0"/>
    </x:xf>
    <x:xf numFmtId="0" fontId="21" fillId="0" borderId="55" applyNumberFormat="1" applyFill="1" applyBorder="1" applyAlignment="1" applyProtection="1">
      <x:protection locked="1" hidden="0"/>
    </x:xf>
    <x:xf numFmtId="0" fontId="21" fillId="0" borderId="26" applyNumberFormat="1" applyFill="1" applyBorder="1" applyAlignment="1" applyProtection="1">
      <x:protection locked="1" hidden="0"/>
    </x:xf>
    <x:xf numFmtId="0" fontId="22" fillId="0" borderId="25" applyNumberFormat="1" applyFill="1" applyBorder="1" applyAlignment="1" applyProtection="1">
      <x:protection locked="1" hidden="0"/>
    </x:xf>
    <x:xf numFmtId="0" fontId="22" fillId="0" borderId="15" applyNumberFormat="1" applyFill="1" applyBorder="1" applyAlignment="1" applyProtection="1">
      <x:protection locked="1" hidden="0"/>
    </x:xf>
    <x:xf numFmtId="0" fontId="22" fillId="0" borderId="26" applyNumberFormat="1" applyFill="1" applyBorder="1" applyAlignment="1" applyProtection="1">
      <x:protection locked="1" hidden="0"/>
    </x:xf>
    <x:xf numFmtId="187" fontId="21" fillId="0" borderId="43" applyNumberFormat="1" applyFill="1" applyBorder="1" applyAlignment="1" applyProtection="1">
      <x:protection locked="1" hidden="0"/>
    </x:xf>
    <x:xf numFmtId="187" fontId="21" fillId="0" borderId="53" applyNumberFormat="1" applyFill="1" applyBorder="1" applyAlignment="1" applyProtection="1">
      <x:protection locked="1" hidden="0"/>
    </x:xf>
    <x:xf numFmtId="0" fontId="21" fillId="0" borderId="53" applyNumberFormat="1" applyFill="1" applyBorder="1" applyAlignment="1" applyProtection="1">
      <x:protection locked="1" hidden="0"/>
    </x:xf>
    <x:xf numFmtId="0" fontId="21" fillId="0" borderId="44" applyNumberFormat="1" applyFill="1" applyBorder="1" applyAlignment="1" applyProtection="1">
      <x:protection locked="1" hidden="0"/>
    </x:xf>
    <x:xf numFmtId="0" fontId="21" fillId="0" borderId="25" applyNumberFormat="1" applyFill="1" applyBorder="1" applyAlignment="1" applyProtection="1">
      <x:protection locked="1" hidden="0"/>
    </x:xf>
    <x:xf numFmtId="0" fontId="21" fillId="0" borderId="15" applyNumberFormat="1" applyFill="1" applyBorder="1" applyAlignment="1" applyProtection="1">
      <x:protection locked="1" hidden="0"/>
    </x:xf>
    <x:xf numFmtId="0" fontId="21" fillId="0" borderId="43" applyNumberFormat="1" applyFill="1" applyBorder="1" applyAlignment="1" applyProtection="1">
      <x:protection locked="1" hidden="0"/>
    </x:xf>
    <x:xf numFmtId="14" fontId="22" fillId="0" borderId="15" applyNumberFormat="1" applyFill="1" applyBorder="1" applyAlignment="1" applyProtection="1">
      <x:protection locked="1" hidden="0"/>
    </x:xf>
    <x:xf numFmtId="14" fontId="22" fillId="0" borderId="26" applyNumberFormat="1" applyFill="1" applyBorder="1" applyAlignment="1" applyProtection="1">
      <x:protection locked="1" hidden="0"/>
    </x:xf>
    <x:xf numFmtId="14" fontId="22" fillId="0" borderId="53" applyNumberFormat="1" applyFill="1" applyBorder="1" applyAlignment="1" applyProtection="1">
      <x:protection locked="1" hidden="0"/>
    </x:xf>
    <x:xf numFmtId="14" fontId="22" fillId="0" borderId="44" applyNumberFormat="1" applyFill="1" applyBorder="1" applyAlignment="1" applyProtection="1">
      <x:protection locked="1" hidden="0"/>
    </x:xf>
    <x:xf numFmtId="0" fontId="68" fillId="0" borderId="41" applyNumberFormat="1" applyFill="1" applyBorder="1" applyAlignment="1" applyProtection="1">
      <x:protection locked="1" hidden="0"/>
    </x:xf>
    <x:xf numFmtId="0" fontId="68" fillId="0" borderId="42" applyNumberFormat="1" applyFill="1" applyBorder="1" applyAlignment="1" applyProtection="1">
      <x:protection locked="1" hidden="0"/>
    </x:xf>
    <x:xf numFmtId="0" fontId="68" fillId="0" borderId="58" applyNumberFormat="1" applyFill="1" applyBorder="1" applyAlignment="1" applyProtection="1">
      <x:protection locked="1" hidden="0"/>
    </x:xf>
    <x:xf numFmtId="0" fontId="68" fillId="0" borderId="57" applyNumberFormat="1" applyFill="1" applyBorder="1" applyAlignment="1" applyProtection="1">
      <x:protection locked="1" hidden="0"/>
    </x:xf>
    <x:xf numFmtId="31" fontId="22" fillId="0" borderId="43" applyNumberFormat="1" applyFill="1" applyBorder="1" applyAlignment="1" applyProtection="1">
      <x:protection locked="1" hidden="0"/>
    </x:xf>
    <x:xf numFmtId="31" fontId="22" fillId="0" borderId="53" applyNumberFormat="1" applyFill="1" applyBorder="1" applyAlignment="1" applyProtection="1">
      <x:protection locked="1" hidden="0"/>
    </x:xf>
    <x:xf numFmtId="188" fontId="22" fillId="0" borderId="53" applyNumberFormat="1" applyFill="1" applyBorder="1" applyAlignment="1" applyProtection="1">
      <x:protection locked="1" hidden="0"/>
    </x:xf>
    <x:xf numFmtId="188" fontId="22" fillId="0" borderId="44" applyNumberFormat="1" applyFill="1" applyBorder="1" applyAlignment="1" applyProtection="1">
      <x:protection locked="1" hidden="0"/>
    </x:xf>
    <x:xf numFmtId="0" fontId="69" fillId="0" borderId="43" applyNumberFormat="1" applyFill="1" applyBorder="1" applyAlignment="1" applyProtection="1">
      <x:protection locked="1" hidden="0"/>
    </x:xf>
    <x:xf numFmtId="0" fontId="69" fillId="0" borderId="53" applyNumberFormat="1" applyFill="1" applyBorder="1" applyAlignment="1" applyProtection="1">
      <x:protection locked="1" hidden="0"/>
    </x:xf>
    <x:xf numFmtId="0" fontId="69" fillId="0" borderId="44" applyNumberFormat="1" applyFill="1" applyBorder="1" applyAlignment="1" applyProtection="1">
      <x:protection locked="1" hidden="0"/>
    </x:xf>
    <x:xf numFmtId="0" fontId="70" fillId="0" borderId="43" applyNumberFormat="1" applyFill="1" applyBorder="1" applyAlignment="1" applyProtection="1">
      <x:protection locked="1" hidden="0"/>
    </x:xf>
    <x:xf numFmtId="0" fontId="70" fillId="0" borderId="53" applyNumberFormat="1" applyFill="1" applyBorder="1" applyAlignment="1" applyProtection="1">
      <x:protection locked="1" hidden="0"/>
    </x:xf>
    <x:xf numFmtId="0" fontId="70" fillId="0" borderId="44" applyNumberFormat="1" applyFill="1" applyBorder="1" applyAlignment="1" applyProtection="1">
      <x:protection locked="1" hidden="0"/>
    </x:xf>
    <x:xf numFmtId="0" fontId="69" fillId="0" borderId="15" applyNumberFormat="1" applyFill="1" applyBorder="1" applyAlignment="1" applyProtection="1">
      <x:protection locked="1" hidden="0"/>
    </x:xf>
    <x:xf numFmtId="0" fontId="70" fillId="0" borderId="15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3" fillId="4" borderId="0" applyNumberFormat="1" applyFill="0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8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0" fontId="6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worksheet" Target="worksheets/sheet2.xml" Id="rId2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14.xml" Id="rId14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36"/>
  <x:sheetViews>
    <x:sheetView topLeftCell="A4" workbookViewId="0">
      <x:selection activeCell="F16" sqref="F16 F16:P17"/>
    </x:sheetView>
  </x:sheetViews>
  <x:sheetFormatPr defaultColWidth="9" defaultRowHeight="15.6" x14ac:dyDescent="0.25"/>
  <x:cols>
    <x:col min="1" max="1" width="1.597656" style="129" customWidth="1"/>
    <x:col min="2" max="2" width="6.097656" style="129" customWidth="1"/>
    <x:col min="3" max="6" width="9.097656" style="129" customWidth="1"/>
    <x:col min="7" max="10" width="3" style="129" customWidth="1"/>
    <x:col min="11" max="11" width="2.5" style="129" customWidth="1"/>
    <x:col min="12" max="12" width="4" style="129" customWidth="1"/>
    <x:col min="13" max="13" width="2.699219" style="129" customWidth="1"/>
    <x:col min="14" max="14" width="3.398438" style="129" customWidth="1"/>
    <x:col min="15" max="15" width="3" style="129" customWidth="1"/>
    <x:col min="16" max="16" width="4" style="129" customWidth="1"/>
    <x:col min="17" max="17" width="2.097656" style="129" customWidth="1"/>
    <x:col min="18" max="18" width="2.5" style="129" customWidth="1"/>
    <x:col min="19" max="19" width="1.699219" style="129" customWidth="1"/>
    <x:col min="20" max="256" width="9" style="129" customWidth="1"/>
    <x:col min="257" max="258" width="6.097656" style="129" customWidth="1"/>
    <x:col min="259" max="262" width="9.097656" style="129" customWidth="1"/>
    <x:col min="263" max="266" width="3" style="129" customWidth="1"/>
    <x:col min="267" max="267" width="2.5" style="129" customWidth="1"/>
    <x:col min="268" max="268" width="4" style="129" customWidth="1"/>
    <x:col min="269" max="269" width="2.699219" style="129" customWidth="1"/>
    <x:col min="270" max="270" width="3.398438" style="129" customWidth="1"/>
    <x:col min="271" max="271" width="3" style="129" customWidth="1"/>
    <x:col min="272" max="272" width="4" style="129" customWidth="1"/>
    <x:col min="273" max="273" width="2.097656" style="129" customWidth="1"/>
    <x:col min="274" max="274" width="2.5" style="129" customWidth="1"/>
    <x:col min="275" max="275" width="1.699219" style="129" customWidth="1"/>
    <x:col min="276" max="512" width="9" style="129" customWidth="1"/>
    <x:col min="513" max="514" width="6.097656" style="129" customWidth="1"/>
    <x:col min="515" max="518" width="9.097656" style="129" customWidth="1"/>
    <x:col min="519" max="522" width="3" style="129" customWidth="1"/>
    <x:col min="523" max="523" width="2.5" style="129" customWidth="1"/>
    <x:col min="524" max="524" width="4" style="129" customWidth="1"/>
    <x:col min="525" max="525" width="2.699219" style="129" customWidth="1"/>
    <x:col min="526" max="526" width="3.398438" style="129" customWidth="1"/>
    <x:col min="527" max="527" width="3" style="129" customWidth="1"/>
    <x:col min="528" max="528" width="4" style="129" customWidth="1"/>
    <x:col min="529" max="529" width="2.097656" style="129" customWidth="1"/>
    <x:col min="530" max="530" width="2.5" style="129" customWidth="1"/>
    <x:col min="531" max="531" width="1.699219" style="129" customWidth="1"/>
    <x:col min="532" max="768" width="9" style="129" customWidth="1"/>
    <x:col min="769" max="770" width="6.097656" style="129" customWidth="1"/>
    <x:col min="771" max="774" width="9.097656" style="129" customWidth="1"/>
    <x:col min="775" max="778" width="3" style="129" customWidth="1"/>
    <x:col min="779" max="779" width="2.5" style="129" customWidth="1"/>
    <x:col min="780" max="780" width="4" style="129" customWidth="1"/>
    <x:col min="781" max="781" width="2.699219" style="129" customWidth="1"/>
    <x:col min="782" max="782" width="3.398438" style="129" customWidth="1"/>
    <x:col min="783" max="783" width="3" style="129" customWidth="1"/>
    <x:col min="784" max="784" width="4" style="129" customWidth="1"/>
    <x:col min="785" max="785" width="2.097656" style="129" customWidth="1"/>
    <x:col min="786" max="786" width="2.5" style="129" customWidth="1"/>
    <x:col min="787" max="787" width="1.699219" style="129" customWidth="1"/>
    <x:col min="788" max="1024" width="9" style="129" customWidth="1"/>
    <x:col min="1025" max="1026" width="6.097656" style="129" customWidth="1"/>
    <x:col min="1027" max="1030" width="9.097656" style="129" customWidth="1"/>
    <x:col min="1031" max="1034" width="3" style="129" customWidth="1"/>
    <x:col min="1035" max="1035" width="2.5" style="129" customWidth="1"/>
    <x:col min="1036" max="1036" width="4" style="129" customWidth="1"/>
    <x:col min="1037" max="1037" width="2.699219" style="129" customWidth="1"/>
    <x:col min="1038" max="1038" width="3.398438" style="129" customWidth="1"/>
    <x:col min="1039" max="1039" width="3" style="129" customWidth="1"/>
    <x:col min="1040" max="1040" width="4" style="129" customWidth="1"/>
    <x:col min="1041" max="1041" width="2.097656" style="129" customWidth="1"/>
    <x:col min="1042" max="1042" width="2.5" style="129" customWidth="1"/>
    <x:col min="1043" max="1043" width="1.699219" style="129" customWidth="1"/>
    <x:col min="1044" max="1280" width="9" style="129" customWidth="1"/>
    <x:col min="1281" max="1282" width="6.097656" style="129" customWidth="1"/>
    <x:col min="1283" max="1286" width="9.097656" style="129" customWidth="1"/>
    <x:col min="1287" max="1290" width="3" style="129" customWidth="1"/>
    <x:col min="1291" max="1291" width="2.5" style="129" customWidth="1"/>
    <x:col min="1292" max="1292" width="4" style="129" customWidth="1"/>
    <x:col min="1293" max="1293" width="2.699219" style="129" customWidth="1"/>
    <x:col min="1294" max="1294" width="3.398438" style="129" customWidth="1"/>
    <x:col min="1295" max="1295" width="3" style="129" customWidth="1"/>
    <x:col min="1296" max="1296" width="4" style="129" customWidth="1"/>
    <x:col min="1297" max="1297" width="2.097656" style="129" customWidth="1"/>
    <x:col min="1298" max="1298" width="2.5" style="129" customWidth="1"/>
    <x:col min="1299" max="1299" width="1.699219" style="129" customWidth="1"/>
    <x:col min="1300" max="1536" width="9" style="129" customWidth="1"/>
    <x:col min="1537" max="1538" width="6.097656" style="129" customWidth="1"/>
    <x:col min="1539" max="1542" width="9.097656" style="129" customWidth="1"/>
    <x:col min="1543" max="1546" width="3" style="129" customWidth="1"/>
    <x:col min="1547" max="1547" width="2.5" style="129" customWidth="1"/>
    <x:col min="1548" max="1548" width="4" style="129" customWidth="1"/>
    <x:col min="1549" max="1549" width="2.699219" style="129" customWidth="1"/>
    <x:col min="1550" max="1550" width="3.398438" style="129" customWidth="1"/>
    <x:col min="1551" max="1551" width="3" style="129" customWidth="1"/>
    <x:col min="1552" max="1552" width="4" style="129" customWidth="1"/>
    <x:col min="1553" max="1553" width="2.097656" style="129" customWidth="1"/>
    <x:col min="1554" max="1554" width="2.5" style="129" customWidth="1"/>
    <x:col min="1555" max="1555" width="1.699219" style="129" customWidth="1"/>
    <x:col min="1556" max="1792" width="9" style="129" customWidth="1"/>
    <x:col min="1793" max="1794" width="6.097656" style="129" customWidth="1"/>
    <x:col min="1795" max="1798" width="9.097656" style="129" customWidth="1"/>
    <x:col min="1799" max="1802" width="3" style="129" customWidth="1"/>
    <x:col min="1803" max="1803" width="2.5" style="129" customWidth="1"/>
    <x:col min="1804" max="1804" width="4" style="129" customWidth="1"/>
    <x:col min="1805" max="1805" width="2.699219" style="129" customWidth="1"/>
    <x:col min="1806" max="1806" width="3.398438" style="129" customWidth="1"/>
    <x:col min="1807" max="1807" width="3" style="129" customWidth="1"/>
    <x:col min="1808" max="1808" width="4" style="129" customWidth="1"/>
    <x:col min="1809" max="1809" width="2.097656" style="129" customWidth="1"/>
    <x:col min="1810" max="1810" width="2.5" style="129" customWidth="1"/>
    <x:col min="1811" max="1811" width="1.699219" style="129" customWidth="1"/>
    <x:col min="1812" max="2048" width="9" style="129" customWidth="1"/>
    <x:col min="2049" max="2050" width="6.097656" style="129" customWidth="1"/>
    <x:col min="2051" max="2054" width="9.097656" style="129" customWidth="1"/>
    <x:col min="2055" max="2058" width="3" style="129" customWidth="1"/>
    <x:col min="2059" max="2059" width="2.5" style="129" customWidth="1"/>
    <x:col min="2060" max="2060" width="4" style="129" customWidth="1"/>
    <x:col min="2061" max="2061" width="2.699219" style="129" customWidth="1"/>
    <x:col min="2062" max="2062" width="3.398438" style="129" customWidth="1"/>
    <x:col min="2063" max="2063" width="3" style="129" customWidth="1"/>
    <x:col min="2064" max="2064" width="4" style="129" customWidth="1"/>
    <x:col min="2065" max="2065" width="2.097656" style="129" customWidth="1"/>
    <x:col min="2066" max="2066" width="2.5" style="129" customWidth="1"/>
    <x:col min="2067" max="2067" width="1.699219" style="129" customWidth="1"/>
    <x:col min="2068" max="2304" width="9" style="129" customWidth="1"/>
    <x:col min="2305" max="2306" width="6.097656" style="129" customWidth="1"/>
    <x:col min="2307" max="2310" width="9.097656" style="129" customWidth="1"/>
    <x:col min="2311" max="2314" width="3" style="129" customWidth="1"/>
    <x:col min="2315" max="2315" width="2.5" style="129" customWidth="1"/>
    <x:col min="2316" max="2316" width="4" style="129" customWidth="1"/>
    <x:col min="2317" max="2317" width="2.699219" style="129" customWidth="1"/>
    <x:col min="2318" max="2318" width="3.398438" style="129" customWidth="1"/>
    <x:col min="2319" max="2319" width="3" style="129" customWidth="1"/>
    <x:col min="2320" max="2320" width="4" style="129" customWidth="1"/>
    <x:col min="2321" max="2321" width="2.097656" style="129" customWidth="1"/>
    <x:col min="2322" max="2322" width="2.5" style="129" customWidth="1"/>
    <x:col min="2323" max="2323" width="1.699219" style="129" customWidth="1"/>
    <x:col min="2324" max="2560" width="9" style="129" customWidth="1"/>
    <x:col min="2561" max="2562" width="6.097656" style="129" customWidth="1"/>
    <x:col min="2563" max="2566" width="9.097656" style="129" customWidth="1"/>
    <x:col min="2567" max="2570" width="3" style="129" customWidth="1"/>
    <x:col min="2571" max="2571" width="2.5" style="129" customWidth="1"/>
    <x:col min="2572" max="2572" width="4" style="129" customWidth="1"/>
    <x:col min="2573" max="2573" width="2.699219" style="129" customWidth="1"/>
    <x:col min="2574" max="2574" width="3.398438" style="129" customWidth="1"/>
    <x:col min="2575" max="2575" width="3" style="129" customWidth="1"/>
    <x:col min="2576" max="2576" width="4" style="129" customWidth="1"/>
    <x:col min="2577" max="2577" width="2.097656" style="129" customWidth="1"/>
    <x:col min="2578" max="2578" width="2.5" style="129" customWidth="1"/>
    <x:col min="2579" max="2579" width="1.699219" style="129" customWidth="1"/>
    <x:col min="2580" max="2816" width="9" style="129" customWidth="1"/>
    <x:col min="2817" max="2818" width="6.097656" style="129" customWidth="1"/>
    <x:col min="2819" max="2822" width="9.097656" style="129" customWidth="1"/>
    <x:col min="2823" max="2826" width="3" style="129" customWidth="1"/>
    <x:col min="2827" max="2827" width="2.5" style="129" customWidth="1"/>
    <x:col min="2828" max="2828" width="4" style="129" customWidth="1"/>
    <x:col min="2829" max="2829" width="2.699219" style="129" customWidth="1"/>
    <x:col min="2830" max="2830" width="3.398438" style="129" customWidth="1"/>
    <x:col min="2831" max="2831" width="3" style="129" customWidth="1"/>
    <x:col min="2832" max="2832" width="4" style="129" customWidth="1"/>
    <x:col min="2833" max="2833" width="2.097656" style="129" customWidth="1"/>
    <x:col min="2834" max="2834" width="2.5" style="129" customWidth="1"/>
    <x:col min="2835" max="2835" width="1.699219" style="129" customWidth="1"/>
    <x:col min="2836" max="3072" width="9" style="129" customWidth="1"/>
    <x:col min="3073" max="3074" width="6.097656" style="129" customWidth="1"/>
    <x:col min="3075" max="3078" width="9.097656" style="129" customWidth="1"/>
    <x:col min="3079" max="3082" width="3" style="129" customWidth="1"/>
    <x:col min="3083" max="3083" width="2.5" style="129" customWidth="1"/>
    <x:col min="3084" max="3084" width="4" style="129" customWidth="1"/>
    <x:col min="3085" max="3085" width="2.699219" style="129" customWidth="1"/>
    <x:col min="3086" max="3086" width="3.398438" style="129" customWidth="1"/>
    <x:col min="3087" max="3087" width="3" style="129" customWidth="1"/>
    <x:col min="3088" max="3088" width="4" style="129" customWidth="1"/>
    <x:col min="3089" max="3089" width="2.097656" style="129" customWidth="1"/>
    <x:col min="3090" max="3090" width="2.5" style="129" customWidth="1"/>
    <x:col min="3091" max="3091" width="1.699219" style="129" customWidth="1"/>
    <x:col min="3092" max="3328" width="9" style="129" customWidth="1"/>
    <x:col min="3329" max="3330" width="6.097656" style="129" customWidth="1"/>
    <x:col min="3331" max="3334" width="9.097656" style="129" customWidth="1"/>
    <x:col min="3335" max="3338" width="3" style="129" customWidth="1"/>
    <x:col min="3339" max="3339" width="2.5" style="129" customWidth="1"/>
    <x:col min="3340" max="3340" width="4" style="129" customWidth="1"/>
    <x:col min="3341" max="3341" width="2.699219" style="129" customWidth="1"/>
    <x:col min="3342" max="3342" width="3.398438" style="129" customWidth="1"/>
    <x:col min="3343" max="3343" width="3" style="129" customWidth="1"/>
    <x:col min="3344" max="3344" width="4" style="129" customWidth="1"/>
    <x:col min="3345" max="3345" width="2.097656" style="129" customWidth="1"/>
    <x:col min="3346" max="3346" width="2.5" style="129" customWidth="1"/>
    <x:col min="3347" max="3347" width="1.699219" style="129" customWidth="1"/>
    <x:col min="3348" max="3584" width="9" style="129" customWidth="1"/>
    <x:col min="3585" max="3586" width="6.097656" style="129" customWidth="1"/>
    <x:col min="3587" max="3590" width="9.097656" style="129" customWidth="1"/>
    <x:col min="3591" max="3594" width="3" style="129" customWidth="1"/>
    <x:col min="3595" max="3595" width="2.5" style="129" customWidth="1"/>
    <x:col min="3596" max="3596" width="4" style="129" customWidth="1"/>
    <x:col min="3597" max="3597" width="2.699219" style="129" customWidth="1"/>
    <x:col min="3598" max="3598" width="3.398438" style="129" customWidth="1"/>
    <x:col min="3599" max="3599" width="3" style="129" customWidth="1"/>
    <x:col min="3600" max="3600" width="4" style="129" customWidth="1"/>
    <x:col min="3601" max="3601" width="2.097656" style="129" customWidth="1"/>
    <x:col min="3602" max="3602" width="2.5" style="129" customWidth="1"/>
    <x:col min="3603" max="3603" width="1.699219" style="129" customWidth="1"/>
    <x:col min="3604" max="3840" width="9" style="129" customWidth="1"/>
    <x:col min="3841" max="3842" width="6.097656" style="129" customWidth="1"/>
    <x:col min="3843" max="3846" width="9.097656" style="129" customWidth="1"/>
    <x:col min="3847" max="3850" width="3" style="129" customWidth="1"/>
    <x:col min="3851" max="3851" width="2.5" style="129" customWidth="1"/>
    <x:col min="3852" max="3852" width="4" style="129" customWidth="1"/>
    <x:col min="3853" max="3853" width="2.699219" style="129" customWidth="1"/>
    <x:col min="3854" max="3854" width="3.398438" style="129" customWidth="1"/>
    <x:col min="3855" max="3855" width="3" style="129" customWidth="1"/>
    <x:col min="3856" max="3856" width="4" style="129" customWidth="1"/>
    <x:col min="3857" max="3857" width="2.097656" style="129" customWidth="1"/>
    <x:col min="3858" max="3858" width="2.5" style="129" customWidth="1"/>
    <x:col min="3859" max="3859" width="1.699219" style="129" customWidth="1"/>
    <x:col min="3860" max="4096" width="9" style="129" customWidth="1"/>
    <x:col min="4097" max="4098" width="6.097656" style="129" customWidth="1"/>
    <x:col min="4099" max="4102" width="9.097656" style="129" customWidth="1"/>
    <x:col min="4103" max="4106" width="3" style="129" customWidth="1"/>
    <x:col min="4107" max="4107" width="2.5" style="129" customWidth="1"/>
    <x:col min="4108" max="4108" width="4" style="129" customWidth="1"/>
    <x:col min="4109" max="4109" width="2.699219" style="129" customWidth="1"/>
    <x:col min="4110" max="4110" width="3.398438" style="129" customWidth="1"/>
    <x:col min="4111" max="4111" width="3" style="129" customWidth="1"/>
    <x:col min="4112" max="4112" width="4" style="129" customWidth="1"/>
    <x:col min="4113" max="4113" width="2.097656" style="129" customWidth="1"/>
    <x:col min="4114" max="4114" width="2.5" style="129" customWidth="1"/>
    <x:col min="4115" max="4115" width="1.699219" style="129" customWidth="1"/>
    <x:col min="4116" max="4352" width="9" style="129" customWidth="1"/>
    <x:col min="4353" max="4354" width="6.097656" style="129" customWidth="1"/>
    <x:col min="4355" max="4358" width="9.097656" style="129" customWidth="1"/>
    <x:col min="4359" max="4362" width="3" style="129" customWidth="1"/>
    <x:col min="4363" max="4363" width="2.5" style="129" customWidth="1"/>
    <x:col min="4364" max="4364" width="4" style="129" customWidth="1"/>
    <x:col min="4365" max="4365" width="2.699219" style="129" customWidth="1"/>
    <x:col min="4366" max="4366" width="3.398438" style="129" customWidth="1"/>
    <x:col min="4367" max="4367" width="3" style="129" customWidth="1"/>
    <x:col min="4368" max="4368" width="4" style="129" customWidth="1"/>
    <x:col min="4369" max="4369" width="2.097656" style="129" customWidth="1"/>
    <x:col min="4370" max="4370" width="2.5" style="129" customWidth="1"/>
    <x:col min="4371" max="4371" width="1.699219" style="129" customWidth="1"/>
    <x:col min="4372" max="4608" width="9" style="129" customWidth="1"/>
    <x:col min="4609" max="4610" width="6.097656" style="129" customWidth="1"/>
    <x:col min="4611" max="4614" width="9.097656" style="129" customWidth="1"/>
    <x:col min="4615" max="4618" width="3" style="129" customWidth="1"/>
    <x:col min="4619" max="4619" width="2.5" style="129" customWidth="1"/>
    <x:col min="4620" max="4620" width="4" style="129" customWidth="1"/>
    <x:col min="4621" max="4621" width="2.699219" style="129" customWidth="1"/>
    <x:col min="4622" max="4622" width="3.398438" style="129" customWidth="1"/>
    <x:col min="4623" max="4623" width="3" style="129" customWidth="1"/>
    <x:col min="4624" max="4624" width="4" style="129" customWidth="1"/>
    <x:col min="4625" max="4625" width="2.097656" style="129" customWidth="1"/>
    <x:col min="4626" max="4626" width="2.5" style="129" customWidth="1"/>
    <x:col min="4627" max="4627" width="1.699219" style="129" customWidth="1"/>
    <x:col min="4628" max="4864" width="9" style="129" customWidth="1"/>
    <x:col min="4865" max="4866" width="6.097656" style="129" customWidth="1"/>
    <x:col min="4867" max="4870" width="9.097656" style="129" customWidth="1"/>
    <x:col min="4871" max="4874" width="3" style="129" customWidth="1"/>
    <x:col min="4875" max="4875" width="2.5" style="129" customWidth="1"/>
    <x:col min="4876" max="4876" width="4" style="129" customWidth="1"/>
    <x:col min="4877" max="4877" width="2.699219" style="129" customWidth="1"/>
    <x:col min="4878" max="4878" width="3.398438" style="129" customWidth="1"/>
    <x:col min="4879" max="4879" width="3" style="129" customWidth="1"/>
    <x:col min="4880" max="4880" width="4" style="129" customWidth="1"/>
    <x:col min="4881" max="4881" width="2.097656" style="129" customWidth="1"/>
    <x:col min="4882" max="4882" width="2.5" style="129" customWidth="1"/>
    <x:col min="4883" max="4883" width="1.699219" style="129" customWidth="1"/>
    <x:col min="4884" max="5120" width="9" style="129" customWidth="1"/>
    <x:col min="5121" max="5122" width="6.097656" style="129" customWidth="1"/>
    <x:col min="5123" max="5126" width="9.097656" style="129" customWidth="1"/>
    <x:col min="5127" max="5130" width="3" style="129" customWidth="1"/>
    <x:col min="5131" max="5131" width="2.5" style="129" customWidth="1"/>
    <x:col min="5132" max="5132" width="4" style="129" customWidth="1"/>
    <x:col min="5133" max="5133" width="2.699219" style="129" customWidth="1"/>
    <x:col min="5134" max="5134" width="3.398438" style="129" customWidth="1"/>
    <x:col min="5135" max="5135" width="3" style="129" customWidth="1"/>
    <x:col min="5136" max="5136" width="4" style="129" customWidth="1"/>
    <x:col min="5137" max="5137" width="2.097656" style="129" customWidth="1"/>
    <x:col min="5138" max="5138" width="2.5" style="129" customWidth="1"/>
    <x:col min="5139" max="5139" width="1.699219" style="129" customWidth="1"/>
    <x:col min="5140" max="5376" width="9" style="129" customWidth="1"/>
    <x:col min="5377" max="5378" width="6.097656" style="129" customWidth="1"/>
    <x:col min="5379" max="5382" width="9.097656" style="129" customWidth="1"/>
    <x:col min="5383" max="5386" width="3" style="129" customWidth="1"/>
    <x:col min="5387" max="5387" width="2.5" style="129" customWidth="1"/>
    <x:col min="5388" max="5388" width="4" style="129" customWidth="1"/>
    <x:col min="5389" max="5389" width="2.699219" style="129" customWidth="1"/>
    <x:col min="5390" max="5390" width="3.398438" style="129" customWidth="1"/>
    <x:col min="5391" max="5391" width="3" style="129" customWidth="1"/>
    <x:col min="5392" max="5392" width="4" style="129" customWidth="1"/>
    <x:col min="5393" max="5393" width="2.097656" style="129" customWidth="1"/>
    <x:col min="5394" max="5394" width="2.5" style="129" customWidth="1"/>
    <x:col min="5395" max="5395" width="1.699219" style="129" customWidth="1"/>
    <x:col min="5396" max="5632" width="9" style="129" customWidth="1"/>
    <x:col min="5633" max="5634" width="6.097656" style="129" customWidth="1"/>
    <x:col min="5635" max="5638" width="9.097656" style="129" customWidth="1"/>
    <x:col min="5639" max="5642" width="3" style="129" customWidth="1"/>
    <x:col min="5643" max="5643" width="2.5" style="129" customWidth="1"/>
    <x:col min="5644" max="5644" width="4" style="129" customWidth="1"/>
    <x:col min="5645" max="5645" width="2.699219" style="129" customWidth="1"/>
    <x:col min="5646" max="5646" width="3.398438" style="129" customWidth="1"/>
    <x:col min="5647" max="5647" width="3" style="129" customWidth="1"/>
    <x:col min="5648" max="5648" width="4" style="129" customWidth="1"/>
    <x:col min="5649" max="5649" width="2.097656" style="129" customWidth="1"/>
    <x:col min="5650" max="5650" width="2.5" style="129" customWidth="1"/>
    <x:col min="5651" max="5651" width="1.699219" style="129" customWidth="1"/>
    <x:col min="5652" max="5888" width="9" style="129" customWidth="1"/>
    <x:col min="5889" max="5890" width="6.097656" style="129" customWidth="1"/>
    <x:col min="5891" max="5894" width="9.097656" style="129" customWidth="1"/>
    <x:col min="5895" max="5898" width="3" style="129" customWidth="1"/>
    <x:col min="5899" max="5899" width="2.5" style="129" customWidth="1"/>
    <x:col min="5900" max="5900" width="4" style="129" customWidth="1"/>
    <x:col min="5901" max="5901" width="2.699219" style="129" customWidth="1"/>
    <x:col min="5902" max="5902" width="3.398438" style="129" customWidth="1"/>
    <x:col min="5903" max="5903" width="3" style="129" customWidth="1"/>
    <x:col min="5904" max="5904" width="4" style="129" customWidth="1"/>
    <x:col min="5905" max="5905" width="2.097656" style="129" customWidth="1"/>
    <x:col min="5906" max="5906" width="2.5" style="129" customWidth="1"/>
    <x:col min="5907" max="5907" width="1.699219" style="129" customWidth="1"/>
    <x:col min="5908" max="6144" width="9" style="129" customWidth="1"/>
    <x:col min="6145" max="6146" width="6.097656" style="129" customWidth="1"/>
    <x:col min="6147" max="6150" width="9.097656" style="129" customWidth="1"/>
    <x:col min="6151" max="6154" width="3" style="129" customWidth="1"/>
    <x:col min="6155" max="6155" width="2.5" style="129" customWidth="1"/>
    <x:col min="6156" max="6156" width="4" style="129" customWidth="1"/>
    <x:col min="6157" max="6157" width="2.699219" style="129" customWidth="1"/>
    <x:col min="6158" max="6158" width="3.398438" style="129" customWidth="1"/>
    <x:col min="6159" max="6159" width="3" style="129" customWidth="1"/>
    <x:col min="6160" max="6160" width="4" style="129" customWidth="1"/>
    <x:col min="6161" max="6161" width="2.097656" style="129" customWidth="1"/>
    <x:col min="6162" max="6162" width="2.5" style="129" customWidth="1"/>
    <x:col min="6163" max="6163" width="1.699219" style="129" customWidth="1"/>
    <x:col min="6164" max="6400" width="9" style="129" customWidth="1"/>
    <x:col min="6401" max="6402" width="6.097656" style="129" customWidth="1"/>
    <x:col min="6403" max="6406" width="9.097656" style="129" customWidth="1"/>
    <x:col min="6407" max="6410" width="3" style="129" customWidth="1"/>
    <x:col min="6411" max="6411" width="2.5" style="129" customWidth="1"/>
    <x:col min="6412" max="6412" width="4" style="129" customWidth="1"/>
    <x:col min="6413" max="6413" width="2.699219" style="129" customWidth="1"/>
    <x:col min="6414" max="6414" width="3.398438" style="129" customWidth="1"/>
    <x:col min="6415" max="6415" width="3" style="129" customWidth="1"/>
    <x:col min="6416" max="6416" width="4" style="129" customWidth="1"/>
    <x:col min="6417" max="6417" width="2.097656" style="129" customWidth="1"/>
    <x:col min="6418" max="6418" width="2.5" style="129" customWidth="1"/>
    <x:col min="6419" max="6419" width="1.699219" style="129" customWidth="1"/>
    <x:col min="6420" max="6656" width="9" style="129" customWidth="1"/>
    <x:col min="6657" max="6658" width="6.097656" style="129" customWidth="1"/>
    <x:col min="6659" max="6662" width="9.097656" style="129" customWidth="1"/>
    <x:col min="6663" max="6666" width="3" style="129" customWidth="1"/>
    <x:col min="6667" max="6667" width="2.5" style="129" customWidth="1"/>
    <x:col min="6668" max="6668" width="4" style="129" customWidth="1"/>
    <x:col min="6669" max="6669" width="2.699219" style="129" customWidth="1"/>
    <x:col min="6670" max="6670" width="3.398438" style="129" customWidth="1"/>
    <x:col min="6671" max="6671" width="3" style="129" customWidth="1"/>
    <x:col min="6672" max="6672" width="4" style="129" customWidth="1"/>
    <x:col min="6673" max="6673" width="2.097656" style="129" customWidth="1"/>
    <x:col min="6674" max="6674" width="2.5" style="129" customWidth="1"/>
    <x:col min="6675" max="6675" width="1.699219" style="129" customWidth="1"/>
    <x:col min="6676" max="6912" width="9" style="129" customWidth="1"/>
    <x:col min="6913" max="6914" width="6.097656" style="129" customWidth="1"/>
    <x:col min="6915" max="6918" width="9.097656" style="129" customWidth="1"/>
    <x:col min="6919" max="6922" width="3" style="129" customWidth="1"/>
    <x:col min="6923" max="6923" width="2.5" style="129" customWidth="1"/>
    <x:col min="6924" max="6924" width="4" style="129" customWidth="1"/>
    <x:col min="6925" max="6925" width="2.699219" style="129" customWidth="1"/>
    <x:col min="6926" max="6926" width="3.398438" style="129" customWidth="1"/>
    <x:col min="6927" max="6927" width="3" style="129" customWidth="1"/>
    <x:col min="6928" max="6928" width="4" style="129" customWidth="1"/>
    <x:col min="6929" max="6929" width="2.097656" style="129" customWidth="1"/>
    <x:col min="6930" max="6930" width="2.5" style="129" customWidth="1"/>
    <x:col min="6931" max="6931" width="1.699219" style="129" customWidth="1"/>
    <x:col min="6932" max="7168" width="9" style="129" customWidth="1"/>
    <x:col min="7169" max="7170" width="6.097656" style="129" customWidth="1"/>
    <x:col min="7171" max="7174" width="9.097656" style="129" customWidth="1"/>
    <x:col min="7175" max="7178" width="3" style="129" customWidth="1"/>
    <x:col min="7179" max="7179" width="2.5" style="129" customWidth="1"/>
    <x:col min="7180" max="7180" width="4" style="129" customWidth="1"/>
    <x:col min="7181" max="7181" width="2.699219" style="129" customWidth="1"/>
    <x:col min="7182" max="7182" width="3.398438" style="129" customWidth="1"/>
    <x:col min="7183" max="7183" width="3" style="129" customWidth="1"/>
    <x:col min="7184" max="7184" width="4" style="129" customWidth="1"/>
    <x:col min="7185" max="7185" width="2.097656" style="129" customWidth="1"/>
    <x:col min="7186" max="7186" width="2.5" style="129" customWidth="1"/>
    <x:col min="7187" max="7187" width="1.699219" style="129" customWidth="1"/>
    <x:col min="7188" max="7424" width="9" style="129" customWidth="1"/>
    <x:col min="7425" max="7426" width="6.097656" style="129" customWidth="1"/>
    <x:col min="7427" max="7430" width="9.097656" style="129" customWidth="1"/>
    <x:col min="7431" max="7434" width="3" style="129" customWidth="1"/>
    <x:col min="7435" max="7435" width="2.5" style="129" customWidth="1"/>
    <x:col min="7436" max="7436" width="4" style="129" customWidth="1"/>
    <x:col min="7437" max="7437" width="2.699219" style="129" customWidth="1"/>
    <x:col min="7438" max="7438" width="3.398438" style="129" customWidth="1"/>
    <x:col min="7439" max="7439" width="3" style="129" customWidth="1"/>
    <x:col min="7440" max="7440" width="4" style="129" customWidth="1"/>
    <x:col min="7441" max="7441" width="2.097656" style="129" customWidth="1"/>
    <x:col min="7442" max="7442" width="2.5" style="129" customWidth="1"/>
    <x:col min="7443" max="7443" width="1.699219" style="129" customWidth="1"/>
    <x:col min="7444" max="7680" width="9" style="129" customWidth="1"/>
    <x:col min="7681" max="7682" width="6.097656" style="129" customWidth="1"/>
    <x:col min="7683" max="7686" width="9.097656" style="129" customWidth="1"/>
    <x:col min="7687" max="7690" width="3" style="129" customWidth="1"/>
    <x:col min="7691" max="7691" width="2.5" style="129" customWidth="1"/>
    <x:col min="7692" max="7692" width="4" style="129" customWidth="1"/>
    <x:col min="7693" max="7693" width="2.699219" style="129" customWidth="1"/>
    <x:col min="7694" max="7694" width="3.398438" style="129" customWidth="1"/>
    <x:col min="7695" max="7695" width="3" style="129" customWidth="1"/>
    <x:col min="7696" max="7696" width="4" style="129" customWidth="1"/>
    <x:col min="7697" max="7697" width="2.097656" style="129" customWidth="1"/>
    <x:col min="7698" max="7698" width="2.5" style="129" customWidth="1"/>
    <x:col min="7699" max="7699" width="1.699219" style="129" customWidth="1"/>
    <x:col min="7700" max="7936" width="9" style="129" customWidth="1"/>
    <x:col min="7937" max="7938" width="6.097656" style="129" customWidth="1"/>
    <x:col min="7939" max="7942" width="9.097656" style="129" customWidth="1"/>
    <x:col min="7943" max="7946" width="3" style="129" customWidth="1"/>
    <x:col min="7947" max="7947" width="2.5" style="129" customWidth="1"/>
    <x:col min="7948" max="7948" width="4" style="129" customWidth="1"/>
    <x:col min="7949" max="7949" width="2.699219" style="129" customWidth="1"/>
    <x:col min="7950" max="7950" width="3.398438" style="129" customWidth="1"/>
    <x:col min="7951" max="7951" width="3" style="129" customWidth="1"/>
    <x:col min="7952" max="7952" width="4" style="129" customWidth="1"/>
    <x:col min="7953" max="7953" width="2.097656" style="129" customWidth="1"/>
    <x:col min="7954" max="7954" width="2.5" style="129" customWidth="1"/>
    <x:col min="7955" max="7955" width="1.699219" style="129" customWidth="1"/>
    <x:col min="7956" max="8192" width="9" style="129" customWidth="1"/>
    <x:col min="8193" max="8194" width="6.097656" style="129" customWidth="1"/>
    <x:col min="8195" max="8198" width="9.097656" style="129" customWidth="1"/>
    <x:col min="8199" max="8202" width="3" style="129" customWidth="1"/>
    <x:col min="8203" max="8203" width="2.5" style="129" customWidth="1"/>
    <x:col min="8204" max="8204" width="4" style="129" customWidth="1"/>
    <x:col min="8205" max="8205" width="2.699219" style="129" customWidth="1"/>
    <x:col min="8206" max="8206" width="3.398438" style="129" customWidth="1"/>
    <x:col min="8207" max="8207" width="3" style="129" customWidth="1"/>
    <x:col min="8208" max="8208" width="4" style="129" customWidth="1"/>
    <x:col min="8209" max="8209" width="2.097656" style="129" customWidth="1"/>
    <x:col min="8210" max="8210" width="2.5" style="129" customWidth="1"/>
    <x:col min="8211" max="8211" width="1.699219" style="129" customWidth="1"/>
    <x:col min="8212" max="8448" width="9" style="129" customWidth="1"/>
    <x:col min="8449" max="8450" width="6.097656" style="129" customWidth="1"/>
    <x:col min="8451" max="8454" width="9.097656" style="129" customWidth="1"/>
    <x:col min="8455" max="8458" width="3" style="129" customWidth="1"/>
    <x:col min="8459" max="8459" width="2.5" style="129" customWidth="1"/>
    <x:col min="8460" max="8460" width="4" style="129" customWidth="1"/>
    <x:col min="8461" max="8461" width="2.699219" style="129" customWidth="1"/>
    <x:col min="8462" max="8462" width="3.398438" style="129" customWidth="1"/>
    <x:col min="8463" max="8463" width="3" style="129" customWidth="1"/>
    <x:col min="8464" max="8464" width="4" style="129" customWidth="1"/>
    <x:col min="8465" max="8465" width="2.097656" style="129" customWidth="1"/>
    <x:col min="8466" max="8466" width="2.5" style="129" customWidth="1"/>
    <x:col min="8467" max="8467" width="1.699219" style="129" customWidth="1"/>
    <x:col min="8468" max="8704" width="9" style="129" customWidth="1"/>
    <x:col min="8705" max="8706" width="6.097656" style="129" customWidth="1"/>
    <x:col min="8707" max="8710" width="9.097656" style="129" customWidth="1"/>
    <x:col min="8711" max="8714" width="3" style="129" customWidth="1"/>
    <x:col min="8715" max="8715" width="2.5" style="129" customWidth="1"/>
    <x:col min="8716" max="8716" width="4" style="129" customWidth="1"/>
    <x:col min="8717" max="8717" width="2.699219" style="129" customWidth="1"/>
    <x:col min="8718" max="8718" width="3.398438" style="129" customWidth="1"/>
    <x:col min="8719" max="8719" width="3" style="129" customWidth="1"/>
    <x:col min="8720" max="8720" width="4" style="129" customWidth="1"/>
    <x:col min="8721" max="8721" width="2.097656" style="129" customWidth="1"/>
    <x:col min="8722" max="8722" width="2.5" style="129" customWidth="1"/>
    <x:col min="8723" max="8723" width="1.699219" style="129" customWidth="1"/>
    <x:col min="8724" max="8960" width="9" style="129" customWidth="1"/>
    <x:col min="8961" max="8962" width="6.097656" style="129" customWidth="1"/>
    <x:col min="8963" max="8966" width="9.097656" style="129" customWidth="1"/>
    <x:col min="8967" max="8970" width="3" style="129" customWidth="1"/>
    <x:col min="8971" max="8971" width="2.5" style="129" customWidth="1"/>
    <x:col min="8972" max="8972" width="4" style="129" customWidth="1"/>
    <x:col min="8973" max="8973" width="2.699219" style="129" customWidth="1"/>
    <x:col min="8974" max="8974" width="3.398438" style="129" customWidth="1"/>
    <x:col min="8975" max="8975" width="3" style="129" customWidth="1"/>
    <x:col min="8976" max="8976" width="4" style="129" customWidth="1"/>
    <x:col min="8977" max="8977" width="2.097656" style="129" customWidth="1"/>
    <x:col min="8978" max="8978" width="2.5" style="129" customWidth="1"/>
    <x:col min="8979" max="8979" width="1.699219" style="129" customWidth="1"/>
    <x:col min="8980" max="9216" width="9" style="129" customWidth="1"/>
    <x:col min="9217" max="9218" width="6.097656" style="129" customWidth="1"/>
    <x:col min="9219" max="9222" width="9.097656" style="129" customWidth="1"/>
    <x:col min="9223" max="9226" width="3" style="129" customWidth="1"/>
    <x:col min="9227" max="9227" width="2.5" style="129" customWidth="1"/>
    <x:col min="9228" max="9228" width="4" style="129" customWidth="1"/>
    <x:col min="9229" max="9229" width="2.699219" style="129" customWidth="1"/>
    <x:col min="9230" max="9230" width="3.398438" style="129" customWidth="1"/>
    <x:col min="9231" max="9231" width="3" style="129" customWidth="1"/>
    <x:col min="9232" max="9232" width="4" style="129" customWidth="1"/>
    <x:col min="9233" max="9233" width="2.097656" style="129" customWidth="1"/>
    <x:col min="9234" max="9234" width="2.5" style="129" customWidth="1"/>
    <x:col min="9235" max="9235" width="1.699219" style="129" customWidth="1"/>
    <x:col min="9236" max="9472" width="9" style="129" customWidth="1"/>
    <x:col min="9473" max="9474" width="6.097656" style="129" customWidth="1"/>
    <x:col min="9475" max="9478" width="9.097656" style="129" customWidth="1"/>
    <x:col min="9479" max="9482" width="3" style="129" customWidth="1"/>
    <x:col min="9483" max="9483" width="2.5" style="129" customWidth="1"/>
    <x:col min="9484" max="9484" width="4" style="129" customWidth="1"/>
    <x:col min="9485" max="9485" width="2.699219" style="129" customWidth="1"/>
    <x:col min="9486" max="9486" width="3.398438" style="129" customWidth="1"/>
    <x:col min="9487" max="9487" width="3" style="129" customWidth="1"/>
    <x:col min="9488" max="9488" width="4" style="129" customWidth="1"/>
    <x:col min="9489" max="9489" width="2.097656" style="129" customWidth="1"/>
    <x:col min="9490" max="9490" width="2.5" style="129" customWidth="1"/>
    <x:col min="9491" max="9491" width="1.699219" style="129" customWidth="1"/>
    <x:col min="9492" max="9728" width="9" style="129" customWidth="1"/>
    <x:col min="9729" max="9730" width="6.097656" style="129" customWidth="1"/>
    <x:col min="9731" max="9734" width="9.097656" style="129" customWidth="1"/>
    <x:col min="9735" max="9738" width="3" style="129" customWidth="1"/>
    <x:col min="9739" max="9739" width="2.5" style="129" customWidth="1"/>
    <x:col min="9740" max="9740" width="4" style="129" customWidth="1"/>
    <x:col min="9741" max="9741" width="2.699219" style="129" customWidth="1"/>
    <x:col min="9742" max="9742" width="3.398438" style="129" customWidth="1"/>
    <x:col min="9743" max="9743" width="3" style="129" customWidth="1"/>
    <x:col min="9744" max="9744" width="4" style="129" customWidth="1"/>
    <x:col min="9745" max="9745" width="2.097656" style="129" customWidth="1"/>
    <x:col min="9746" max="9746" width="2.5" style="129" customWidth="1"/>
    <x:col min="9747" max="9747" width="1.699219" style="129" customWidth="1"/>
    <x:col min="9748" max="9984" width="9" style="129" customWidth="1"/>
    <x:col min="9985" max="9986" width="6.097656" style="129" customWidth="1"/>
    <x:col min="9987" max="9990" width="9.097656" style="129" customWidth="1"/>
    <x:col min="9991" max="9994" width="3" style="129" customWidth="1"/>
    <x:col min="9995" max="9995" width="2.5" style="129" customWidth="1"/>
    <x:col min="9996" max="9996" width="4" style="129" customWidth="1"/>
    <x:col min="9997" max="9997" width="2.699219" style="129" customWidth="1"/>
    <x:col min="9998" max="9998" width="3.398438" style="129" customWidth="1"/>
    <x:col min="9999" max="9999" width="3" style="129" customWidth="1"/>
    <x:col min="10000" max="10000" width="4" style="129" customWidth="1"/>
    <x:col min="10001" max="10001" width="2.097656" style="129" customWidth="1"/>
    <x:col min="10002" max="10002" width="2.5" style="129" customWidth="1"/>
    <x:col min="10003" max="10003" width="1.699219" style="129" customWidth="1"/>
    <x:col min="10004" max="10240" width="9" style="129" customWidth="1"/>
    <x:col min="10241" max="10242" width="6.097656" style="129" customWidth="1"/>
    <x:col min="10243" max="10246" width="9.097656" style="129" customWidth="1"/>
    <x:col min="10247" max="10250" width="3" style="129" customWidth="1"/>
    <x:col min="10251" max="10251" width="2.5" style="129" customWidth="1"/>
    <x:col min="10252" max="10252" width="4" style="129" customWidth="1"/>
    <x:col min="10253" max="10253" width="2.699219" style="129" customWidth="1"/>
    <x:col min="10254" max="10254" width="3.398438" style="129" customWidth="1"/>
    <x:col min="10255" max="10255" width="3" style="129" customWidth="1"/>
    <x:col min="10256" max="10256" width="4" style="129" customWidth="1"/>
    <x:col min="10257" max="10257" width="2.097656" style="129" customWidth="1"/>
    <x:col min="10258" max="10258" width="2.5" style="129" customWidth="1"/>
    <x:col min="10259" max="10259" width="1.699219" style="129" customWidth="1"/>
    <x:col min="10260" max="10496" width="9" style="129" customWidth="1"/>
    <x:col min="10497" max="10498" width="6.097656" style="129" customWidth="1"/>
    <x:col min="10499" max="10502" width="9.097656" style="129" customWidth="1"/>
    <x:col min="10503" max="10506" width="3" style="129" customWidth="1"/>
    <x:col min="10507" max="10507" width="2.5" style="129" customWidth="1"/>
    <x:col min="10508" max="10508" width="4" style="129" customWidth="1"/>
    <x:col min="10509" max="10509" width="2.699219" style="129" customWidth="1"/>
    <x:col min="10510" max="10510" width="3.398438" style="129" customWidth="1"/>
    <x:col min="10511" max="10511" width="3" style="129" customWidth="1"/>
    <x:col min="10512" max="10512" width="4" style="129" customWidth="1"/>
    <x:col min="10513" max="10513" width="2.097656" style="129" customWidth="1"/>
    <x:col min="10514" max="10514" width="2.5" style="129" customWidth="1"/>
    <x:col min="10515" max="10515" width="1.699219" style="129" customWidth="1"/>
    <x:col min="10516" max="10752" width="9" style="129" customWidth="1"/>
    <x:col min="10753" max="10754" width="6.097656" style="129" customWidth="1"/>
    <x:col min="10755" max="10758" width="9.097656" style="129" customWidth="1"/>
    <x:col min="10759" max="10762" width="3" style="129" customWidth="1"/>
    <x:col min="10763" max="10763" width="2.5" style="129" customWidth="1"/>
    <x:col min="10764" max="10764" width="4" style="129" customWidth="1"/>
    <x:col min="10765" max="10765" width="2.699219" style="129" customWidth="1"/>
    <x:col min="10766" max="10766" width="3.398438" style="129" customWidth="1"/>
    <x:col min="10767" max="10767" width="3" style="129" customWidth="1"/>
    <x:col min="10768" max="10768" width="4" style="129" customWidth="1"/>
    <x:col min="10769" max="10769" width="2.097656" style="129" customWidth="1"/>
    <x:col min="10770" max="10770" width="2.5" style="129" customWidth="1"/>
    <x:col min="10771" max="10771" width="1.699219" style="129" customWidth="1"/>
    <x:col min="10772" max="11008" width="9" style="129" customWidth="1"/>
    <x:col min="11009" max="11010" width="6.097656" style="129" customWidth="1"/>
    <x:col min="11011" max="11014" width="9.097656" style="129" customWidth="1"/>
    <x:col min="11015" max="11018" width="3" style="129" customWidth="1"/>
    <x:col min="11019" max="11019" width="2.5" style="129" customWidth="1"/>
    <x:col min="11020" max="11020" width="4" style="129" customWidth="1"/>
    <x:col min="11021" max="11021" width="2.699219" style="129" customWidth="1"/>
    <x:col min="11022" max="11022" width="3.398438" style="129" customWidth="1"/>
    <x:col min="11023" max="11023" width="3" style="129" customWidth="1"/>
    <x:col min="11024" max="11024" width="4" style="129" customWidth="1"/>
    <x:col min="11025" max="11025" width="2.097656" style="129" customWidth="1"/>
    <x:col min="11026" max="11026" width="2.5" style="129" customWidth="1"/>
    <x:col min="11027" max="11027" width="1.699219" style="129" customWidth="1"/>
    <x:col min="11028" max="11264" width="9" style="129" customWidth="1"/>
    <x:col min="11265" max="11266" width="6.097656" style="129" customWidth="1"/>
    <x:col min="11267" max="11270" width="9.097656" style="129" customWidth="1"/>
    <x:col min="11271" max="11274" width="3" style="129" customWidth="1"/>
    <x:col min="11275" max="11275" width="2.5" style="129" customWidth="1"/>
    <x:col min="11276" max="11276" width="4" style="129" customWidth="1"/>
    <x:col min="11277" max="11277" width="2.699219" style="129" customWidth="1"/>
    <x:col min="11278" max="11278" width="3.398438" style="129" customWidth="1"/>
    <x:col min="11279" max="11279" width="3" style="129" customWidth="1"/>
    <x:col min="11280" max="11280" width="4" style="129" customWidth="1"/>
    <x:col min="11281" max="11281" width="2.097656" style="129" customWidth="1"/>
    <x:col min="11282" max="11282" width="2.5" style="129" customWidth="1"/>
    <x:col min="11283" max="11283" width="1.699219" style="129" customWidth="1"/>
    <x:col min="11284" max="11520" width="9" style="129" customWidth="1"/>
    <x:col min="11521" max="11522" width="6.097656" style="129" customWidth="1"/>
    <x:col min="11523" max="11526" width="9.097656" style="129" customWidth="1"/>
    <x:col min="11527" max="11530" width="3" style="129" customWidth="1"/>
    <x:col min="11531" max="11531" width="2.5" style="129" customWidth="1"/>
    <x:col min="11532" max="11532" width="4" style="129" customWidth="1"/>
    <x:col min="11533" max="11533" width="2.699219" style="129" customWidth="1"/>
    <x:col min="11534" max="11534" width="3.398438" style="129" customWidth="1"/>
    <x:col min="11535" max="11535" width="3" style="129" customWidth="1"/>
    <x:col min="11536" max="11536" width="4" style="129" customWidth="1"/>
    <x:col min="11537" max="11537" width="2.097656" style="129" customWidth="1"/>
    <x:col min="11538" max="11538" width="2.5" style="129" customWidth="1"/>
    <x:col min="11539" max="11539" width="1.699219" style="129" customWidth="1"/>
    <x:col min="11540" max="11776" width="9" style="129" customWidth="1"/>
    <x:col min="11777" max="11778" width="6.097656" style="129" customWidth="1"/>
    <x:col min="11779" max="11782" width="9.097656" style="129" customWidth="1"/>
    <x:col min="11783" max="11786" width="3" style="129" customWidth="1"/>
    <x:col min="11787" max="11787" width="2.5" style="129" customWidth="1"/>
    <x:col min="11788" max="11788" width="4" style="129" customWidth="1"/>
    <x:col min="11789" max="11789" width="2.699219" style="129" customWidth="1"/>
    <x:col min="11790" max="11790" width="3.398438" style="129" customWidth="1"/>
    <x:col min="11791" max="11791" width="3" style="129" customWidth="1"/>
    <x:col min="11792" max="11792" width="4" style="129" customWidth="1"/>
    <x:col min="11793" max="11793" width="2.097656" style="129" customWidth="1"/>
    <x:col min="11794" max="11794" width="2.5" style="129" customWidth="1"/>
    <x:col min="11795" max="11795" width="1.699219" style="129" customWidth="1"/>
    <x:col min="11796" max="12032" width="9" style="129" customWidth="1"/>
    <x:col min="12033" max="12034" width="6.097656" style="129" customWidth="1"/>
    <x:col min="12035" max="12038" width="9.097656" style="129" customWidth="1"/>
    <x:col min="12039" max="12042" width="3" style="129" customWidth="1"/>
    <x:col min="12043" max="12043" width="2.5" style="129" customWidth="1"/>
    <x:col min="12044" max="12044" width="4" style="129" customWidth="1"/>
    <x:col min="12045" max="12045" width="2.699219" style="129" customWidth="1"/>
    <x:col min="12046" max="12046" width="3.398438" style="129" customWidth="1"/>
    <x:col min="12047" max="12047" width="3" style="129" customWidth="1"/>
    <x:col min="12048" max="12048" width="4" style="129" customWidth="1"/>
    <x:col min="12049" max="12049" width="2.097656" style="129" customWidth="1"/>
    <x:col min="12050" max="12050" width="2.5" style="129" customWidth="1"/>
    <x:col min="12051" max="12051" width="1.699219" style="129" customWidth="1"/>
    <x:col min="12052" max="12288" width="9" style="129" customWidth="1"/>
    <x:col min="12289" max="12290" width="6.097656" style="129" customWidth="1"/>
    <x:col min="12291" max="12294" width="9.097656" style="129" customWidth="1"/>
    <x:col min="12295" max="12298" width="3" style="129" customWidth="1"/>
    <x:col min="12299" max="12299" width="2.5" style="129" customWidth="1"/>
    <x:col min="12300" max="12300" width="4" style="129" customWidth="1"/>
    <x:col min="12301" max="12301" width="2.699219" style="129" customWidth="1"/>
    <x:col min="12302" max="12302" width="3.398438" style="129" customWidth="1"/>
    <x:col min="12303" max="12303" width="3" style="129" customWidth="1"/>
    <x:col min="12304" max="12304" width="4" style="129" customWidth="1"/>
    <x:col min="12305" max="12305" width="2.097656" style="129" customWidth="1"/>
    <x:col min="12306" max="12306" width="2.5" style="129" customWidth="1"/>
    <x:col min="12307" max="12307" width="1.699219" style="129" customWidth="1"/>
    <x:col min="12308" max="12544" width="9" style="129" customWidth="1"/>
    <x:col min="12545" max="12546" width="6.097656" style="129" customWidth="1"/>
    <x:col min="12547" max="12550" width="9.097656" style="129" customWidth="1"/>
    <x:col min="12551" max="12554" width="3" style="129" customWidth="1"/>
    <x:col min="12555" max="12555" width="2.5" style="129" customWidth="1"/>
    <x:col min="12556" max="12556" width="4" style="129" customWidth="1"/>
    <x:col min="12557" max="12557" width="2.699219" style="129" customWidth="1"/>
    <x:col min="12558" max="12558" width="3.398438" style="129" customWidth="1"/>
    <x:col min="12559" max="12559" width="3" style="129" customWidth="1"/>
    <x:col min="12560" max="12560" width="4" style="129" customWidth="1"/>
    <x:col min="12561" max="12561" width="2.097656" style="129" customWidth="1"/>
    <x:col min="12562" max="12562" width="2.5" style="129" customWidth="1"/>
    <x:col min="12563" max="12563" width="1.699219" style="129" customWidth="1"/>
    <x:col min="12564" max="12800" width="9" style="129" customWidth="1"/>
    <x:col min="12801" max="12802" width="6.097656" style="129" customWidth="1"/>
    <x:col min="12803" max="12806" width="9.097656" style="129" customWidth="1"/>
    <x:col min="12807" max="12810" width="3" style="129" customWidth="1"/>
    <x:col min="12811" max="12811" width="2.5" style="129" customWidth="1"/>
    <x:col min="12812" max="12812" width="4" style="129" customWidth="1"/>
    <x:col min="12813" max="12813" width="2.699219" style="129" customWidth="1"/>
    <x:col min="12814" max="12814" width="3.398438" style="129" customWidth="1"/>
    <x:col min="12815" max="12815" width="3" style="129" customWidth="1"/>
    <x:col min="12816" max="12816" width="4" style="129" customWidth="1"/>
    <x:col min="12817" max="12817" width="2.097656" style="129" customWidth="1"/>
    <x:col min="12818" max="12818" width="2.5" style="129" customWidth="1"/>
    <x:col min="12819" max="12819" width="1.699219" style="129" customWidth="1"/>
    <x:col min="12820" max="13056" width="9" style="129" customWidth="1"/>
    <x:col min="13057" max="13058" width="6.097656" style="129" customWidth="1"/>
    <x:col min="13059" max="13062" width="9.097656" style="129" customWidth="1"/>
    <x:col min="13063" max="13066" width="3" style="129" customWidth="1"/>
    <x:col min="13067" max="13067" width="2.5" style="129" customWidth="1"/>
    <x:col min="13068" max="13068" width="4" style="129" customWidth="1"/>
    <x:col min="13069" max="13069" width="2.699219" style="129" customWidth="1"/>
    <x:col min="13070" max="13070" width="3.398438" style="129" customWidth="1"/>
    <x:col min="13071" max="13071" width="3" style="129" customWidth="1"/>
    <x:col min="13072" max="13072" width="4" style="129" customWidth="1"/>
    <x:col min="13073" max="13073" width="2.097656" style="129" customWidth="1"/>
    <x:col min="13074" max="13074" width="2.5" style="129" customWidth="1"/>
    <x:col min="13075" max="13075" width="1.699219" style="129" customWidth="1"/>
    <x:col min="13076" max="13312" width="9" style="129" customWidth="1"/>
    <x:col min="13313" max="13314" width="6.097656" style="129" customWidth="1"/>
    <x:col min="13315" max="13318" width="9.097656" style="129" customWidth="1"/>
    <x:col min="13319" max="13322" width="3" style="129" customWidth="1"/>
    <x:col min="13323" max="13323" width="2.5" style="129" customWidth="1"/>
    <x:col min="13324" max="13324" width="4" style="129" customWidth="1"/>
    <x:col min="13325" max="13325" width="2.699219" style="129" customWidth="1"/>
    <x:col min="13326" max="13326" width="3.398438" style="129" customWidth="1"/>
    <x:col min="13327" max="13327" width="3" style="129" customWidth="1"/>
    <x:col min="13328" max="13328" width="4" style="129" customWidth="1"/>
    <x:col min="13329" max="13329" width="2.097656" style="129" customWidth="1"/>
    <x:col min="13330" max="13330" width="2.5" style="129" customWidth="1"/>
    <x:col min="13331" max="13331" width="1.699219" style="129" customWidth="1"/>
    <x:col min="13332" max="13568" width="9" style="129" customWidth="1"/>
    <x:col min="13569" max="13570" width="6.097656" style="129" customWidth="1"/>
    <x:col min="13571" max="13574" width="9.097656" style="129" customWidth="1"/>
    <x:col min="13575" max="13578" width="3" style="129" customWidth="1"/>
    <x:col min="13579" max="13579" width="2.5" style="129" customWidth="1"/>
    <x:col min="13580" max="13580" width="4" style="129" customWidth="1"/>
    <x:col min="13581" max="13581" width="2.699219" style="129" customWidth="1"/>
    <x:col min="13582" max="13582" width="3.398438" style="129" customWidth="1"/>
    <x:col min="13583" max="13583" width="3" style="129" customWidth="1"/>
    <x:col min="13584" max="13584" width="4" style="129" customWidth="1"/>
    <x:col min="13585" max="13585" width="2.097656" style="129" customWidth="1"/>
    <x:col min="13586" max="13586" width="2.5" style="129" customWidth="1"/>
    <x:col min="13587" max="13587" width="1.699219" style="129" customWidth="1"/>
    <x:col min="13588" max="13824" width="9" style="129" customWidth="1"/>
    <x:col min="13825" max="13826" width="6.097656" style="129" customWidth="1"/>
    <x:col min="13827" max="13830" width="9.097656" style="129" customWidth="1"/>
    <x:col min="13831" max="13834" width="3" style="129" customWidth="1"/>
    <x:col min="13835" max="13835" width="2.5" style="129" customWidth="1"/>
    <x:col min="13836" max="13836" width="4" style="129" customWidth="1"/>
    <x:col min="13837" max="13837" width="2.699219" style="129" customWidth="1"/>
    <x:col min="13838" max="13838" width="3.398438" style="129" customWidth="1"/>
    <x:col min="13839" max="13839" width="3" style="129" customWidth="1"/>
    <x:col min="13840" max="13840" width="4" style="129" customWidth="1"/>
    <x:col min="13841" max="13841" width="2.097656" style="129" customWidth="1"/>
    <x:col min="13842" max="13842" width="2.5" style="129" customWidth="1"/>
    <x:col min="13843" max="13843" width="1.699219" style="129" customWidth="1"/>
    <x:col min="13844" max="14080" width="9" style="129" customWidth="1"/>
    <x:col min="14081" max="14082" width="6.097656" style="129" customWidth="1"/>
    <x:col min="14083" max="14086" width="9.097656" style="129" customWidth="1"/>
    <x:col min="14087" max="14090" width="3" style="129" customWidth="1"/>
    <x:col min="14091" max="14091" width="2.5" style="129" customWidth="1"/>
    <x:col min="14092" max="14092" width="4" style="129" customWidth="1"/>
    <x:col min="14093" max="14093" width="2.699219" style="129" customWidth="1"/>
    <x:col min="14094" max="14094" width="3.398438" style="129" customWidth="1"/>
    <x:col min="14095" max="14095" width="3" style="129" customWidth="1"/>
    <x:col min="14096" max="14096" width="4" style="129" customWidth="1"/>
    <x:col min="14097" max="14097" width="2.097656" style="129" customWidth="1"/>
    <x:col min="14098" max="14098" width="2.5" style="129" customWidth="1"/>
    <x:col min="14099" max="14099" width="1.699219" style="129" customWidth="1"/>
    <x:col min="14100" max="14336" width="9" style="129" customWidth="1"/>
    <x:col min="14337" max="14338" width="6.097656" style="129" customWidth="1"/>
    <x:col min="14339" max="14342" width="9.097656" style="129" customWidth="1"/>
    <x:col min="14343" max="14346" width="3" style="129" customWidth="1"/>
    <x:col min="14347" max="14347" width="2.5" style="129" customWidth="1"/>
    <x:col min="14348" max="14348" width="4" style="129" customWidth="1"/>
    <x:col min="14349" max="14349" width="2.699219" style="129" customWidth="1"/>
    <x:col min="14350" max="14350" width="3.398438" style="129" customWidth="1"/>
    <x:col min="14351" max="14351" width="3" style="129" customWidth="1"/>
    <x:col min="14352" max="14352" width="4" style="129" customWidth="1"/>
    <x:col min="14353" max="14353" width="2.097656" style="129" customWidth="1"/>
    <x:col min="14354" max="14354" width="2.5" style="129" customWidth="1"/>
    <x:col min="14355" max="14355" width="1.699219" style="129" customWidth="1"/>
    <x:col min="14356" max="14592" width="9" style="129" customWidth="1"/>
    <x:col min="14593" max="14594" width="6.097656" style="129" customWidth="1"/>
    <x:col min="14595" max="14598" width="9.097656" style="129" customWidth="1"/>
    <x:col min="14599" max="14602" width="3" style="129" customWidth="1"/>
    <x:col min="14603" max="14603" width="2.5" style="129" customWidth="1"/>
    <x:col min="14604" max="14604" width="4" style="129" customWidth="1"/>
    <x:col min="14605" max="14605" width="2.699219" style="129" customWidth="1"/>
    <x:col min="14606" max="14606" width="3.398438" style="129" customWidth="1"/>
    <x:col min="14607" max="14607" width="3" style="129" customWidth="1"/>
    <x:col min="14608" max="14608" width="4" style="129" customWidth="1"/>
    <x:col min="14609" max="14609" width="2.097656" style="129" customWidth="1"/>
    <x:col min="14610" max="14610" width="2.5" style="129" customWidth="1"/>
    <x:col min="14611" max="14611" width="1.699219" style="129" customWidth="1"/>
    <x:col min="14612" max="14848" width="9" style="129" customWidth="1"/>
    <x:col min="14849" max="14850" width="6.097656" style="129" customWidth="1"/>
    <x:col min="14851" max="14854" width="9.097656" style="129" customWidth="1"/>
    <x:col min="14855" max="14858" width="3" style="129" customWidth="1"/>
    <x:col min="14859" max="14859" width="2.5" style="129" customWidth="1"/>
    <x:col min="14860" max="14860" width="4" style="129" customWidth="1"/>
    <x:col min="14861" max="14861" width="2.699219" style="129" customWidth="1"/>
    <x:col min="14862" max="14862" width="3.398438" style="129" customWidth="1"/>
    <x:col min="14863" max="14863" width="3" style="129" customWidth="1"/>
    <x:col min="14864" max="14864" width="4" style="129" customWidth="1"/>
    <x:col min="14865" max="14865" width="2.097656" style="129" customWidth="1"/>
    <x:col min="14866" max="14866" width="2.5" style="129" customWidth="1"/>
    <x:col min="14867" max="14867" width="1.699219" style="129" customWidth="1"/>
    <x:col min="14868" max="15104" width="9" style="129" customWidth="1"/>
    <x:col min="15105" max="15106" width="6.097656" style="129" customWidth="1"/>
    <x:col min="15107" max="15110" width="9.097656" style="129" customWidth="1"/>
    <x:col min="15111" max="15114" width="3" style="129" customWidth="1"/>
    <x:col min="15115" max="15115" width="2.5" style="129" customWidth="1"/>
    <x:col min="15116" max="15116" width="4" style="129" customWidth="1"/>
    <x:col min="15117" max="15117" width="2.699219" style="129" customWidth="1"/>
    <x:col min="15118" max="15118" width="3.398438" style="129" customWidth="1"/>
    <x:col min="15119" max="15119" width="3" style="129" customWidth="1"/>
    <x:col min="15120" max="15120" width="4" style="129" customWidth="1"/>
    <x:col min="15121" max="15121" width="2.097656" style="129" customWidth="1"/>
    <x:col min="15122" max="15122" width="2.5" style="129" customWidth="1"/>
    <x:col min="15123" max="15123" width="1.699219" style="129" customWidth="1"/>
    <x:col min="15124" max="15360" width="9" style="129" customWidth="1"/>
    <x:col min="15361" max="15362" width="6.097656" style="129" customWidth="1"/>
    <x:col min="15363" max="15366" width="9.097656" style="129" customWidth="1"/>
    <x:col min="15367" max="15370" width="3" style="129" customWidth="1"/>
    <x:col min="15371" max="15371" width="2.5" style="129" customWidth="1"/>
    <x:col min="15372" max="15372" width="4" style="129" customWidth="1"/>
    <x:col min="15373" max="15373" width="2.699219" style="129" customWidth="1"/>
    <x:col min="15374" max="15374" width="3.398438" style="129" customWidth="1"/>
    <x:col min="15375" max="15375" width="3" style="129" customWidth="1"/>
    <x:col min="15376" max="15376" width="4" style="129" customWidth="1"/>
    <x:col min="15377" max="15377" width="2.097656" style="129" customWidth="1"/>
    <x:col min="15378" max="15378" width="2.5" style="129" customWidth="1"/>
    <x:col min="15379" max="15379" width="1.699219" style="129" customWidth="1"/>
    <x:col min="15380" max="15616" width="9" style="129" customWidth="1"/>
    <x:col min="15617" max="15618" width="6.097656" style="129" customWidth="1"/>
    <x:col min="15619" max="15622" width="9.097656" style="129" customWidth="1"/>
    <x:col min="15623" max="15626" width="3" style="129" customWidth="1"/>
    <x:col min="15627" max="15627" width="2.5" style="129" customWidth="1"/>
    <x:col min="15628" max="15628" width="4" style="129" customWidth="1"/>
    <x:col min="15629" max="15629" width="2.699219" style="129" customWidth="1"/>
    <x:col min="15630" max="15630" width="3.398438" style="129" customWidth="1"/>
    <x:col min="15631" max="15631" width="3" style="129" customWidth="1"/>
    <x:col min="15632" max="15632" width="4" style="129" customWidth="1"/>
    <x:col min="15633" max="15633" width="2.097656" style="129" customWidth="1"/>
    <x:col min="15634" max="15634" width="2.5" style="129" customWidth="1"/>
    <x:col min="15635" max="15635" width="1.699219" style="129" customWidth="1"/>
    <x:col min="15636" max="15872" width="9" style="129" customWidth="1"/>
    <x:col min="15873" max="15874" width="6.097656" style="129" customWidth="1"/>
    <x:col min="15875" max="15878" width="9.097656" style="129" customWidth="1"/>
    <x:col min="15879" max="15882" width="3" style="129" customWidth="1"/>
    <x:col min="15883" max="15883" width="2.5" style="129" customWidth="1"/>
    <x:col min="15884" max="15884" width="4" style="129" customWidth="1"/>
    <x:col min="15885" max="15885" width="2.699219" style="129" customWidth="1"/>
    <x:col min="15886" max="15886" width="3.398438" style="129" customWidth="1"/>
    <x:col min="15887" max="15887" width="3" style="129" customWidth="1"/>
    <x:col min="15888" max="15888" width="4" style="129" customWidth="1"/>
    <x:col min="15889" max="15889" width="2.097656" style="129" customWidth="1"/>
    <x:col min="15890" max="15890" width="2.5" style="129" customWidth="1"/>
    <x:col min="15891" max="15891" width="1.699219" style="129" customWidth="1"/>
    <x:col min="15892" max="16128" width="9" style="129" customWidth="1"/>
    <x:col min="16129" max="16130" width="6.097656" style="129" customWidth="1"/>
    <x:col min="16131" max="16134" width="9.097656" style="129" customWidth="1"/>
    <x:col min="16135" max="16138" width="3" style="129" customWidth="1"/>
    <x:col min="16139" max="16139" width="2.5" style="129" customWidth="1"/>
    <x:col min="16140" max="16140" width="4" style="129" customWidth="1"/>
    <x:col min="16141" max="16141" width="2.699219" style="129" customWidth="1"/>
    <x:col min="16142" max="16142" width="3.398438" style="129" customWidth="1"/>
    <x:col min="16143" max="16143" width="3" style="129" customWidth="1"/>
    <x:col min="16144" max="16144" width="4" style="129" customWidth="1"/>
    <x:col min="16145" max="16145" width="2.097656" style="129" customWidth="1"/>
    <x:col min="16146" max="16146" width="2.5" style="129" customWidth="1"/>
    <x:col min="16147" max="16147" width="1.699219" style="129" customWidth="1"/>
    <x:col min="16148" max="16384" width="9" style="129" customWidth="1"/>
  </x:cols>
  <x:sheetData>
    <x:row r="1" spans="1:16147" ht="17.4" customHeight="1" x14ac:dyDescent="0.25">
      <x:c r="A1" s="140"/>
      <x:c r="B1" s="140"/>
      <x:c r="C1" s="236"/>
      <x:c r="D1" s="142"/>
      <x:c r="E1" s="142"/>
      <x:c r="F1" s="142"/>
      <x:c r="G1" s="279" t="s">
        <x:v>0</x:v>
      </x:c>
      <x:c r="H1" s="279"/>
      <x:c r="I1" s="279"/>
      <x:c r="J1" s="279"/>
      <x:c r="K1" s="279"/>
      <x:c r="L1" s="279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24" customHeight="1" x14ac:dyDescent="0.25">
      <x:c r="A2" s="140"/>
      <x:c r="B2" s="140"/>
      <x:c r="C2" s="236"/>
      <x:c r="D2" s="142"/>
      <x:c r="E2" s="142"/>
      <x:c r="F2" s="142"/>
      <x:c r="G2" s="143" t="s">
        <x:v>1</x:v>
      </x:c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</x:row>
    <x:row r="3" spans="1:16147" ht="65.25" customHeight="1" x14ac:dyDescent="0.25">
      <x:c r="A3" s="140"/>
      <x:c r="B3" s="140"/>
      <x:c r="C3" s="236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142"/>
    </x:row>
    <x:row r="4" spans="1:16147" ht="54.75" customHeight="1" x14ac:dyDescent="0.25">
      <x:c r="A4" s="281" t="s">
        <x:v>2</x:v>
      </x:c>
      <x:c r="B4" s="281"/>
      <x:c r="C4" s="281"/>
      <x:c r="D4" s="281"/>
      <x:c r="E4" s="281"/>
      <x:c r="F4" s="281"/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</x:row>
    <x:row r="5" spans="1:16147" ht="32.4" customHeight="1" x14ac:dyDescent="0.25">
      <x:c r="A5" s="282" t="s">
        <x:v>3</x:v>
      </x:c>
      <x:c r="B5" s="282"/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282"/>
      <x:c r="P5" s="282"/>
      <x:c r="Q5" s="282"/>
      <x:c r="R5" s="282"/>
      <x:c r="S5" s="282"/>
    </x:row>
    <x:row r="6" spans="1:16147" ht="15.75" customHeight="1" x14ac:dyDescent="0.25">
      <x:c r="A6" s="248"/>
    </x:row>
    <x:row r="7" spans="1:16147" ht="15.75" customHeight="1" x14ac:dyDescent="0.25">
      <x:c r="A7" s="249"/>
    </x:row>
    <x:row r="8" spans="1:16147" ht="15.75" customHeight="1" x14ac:dyDescent="0.25">
      <x:c r="A8" s="249"/>
    </x:row>
    <x:row r="9" spans="1:16147" ht="15.75" customHeight="1" x14ac:dyDescent="0.25">
      <x:c r="A9" s="250"/>
    </x:row>
    <x:row r="10" spans="1:16147" ht="20.4" customHeight="1" x14ac:dyDescent="0.25">
      <x:c r="B10" s="251"/>
      <x:c r="C10" s="252" t="s">
        <x:v>4</x:v>
      </x:c>
      <x:c r="D10" s="252"/>
      <x:c r="E10" s="252"/>
      <x:c r="F10" s="252">
        <x:f>IF(数据导入!AM10="","",数据导入!AM10)</x:f>
      </x:c>
      <x:c r="G10" s="252"/>
      <x:c r="H10" s="252"/>
      <x:c r="I10" s="252"/>
      <x:c r="J10" s="252"/>
      <x:c r="K10" s="252"/>
      <x:c r="L10" s="252"/>
      <x:c r="M10" s="252"/>
      <x:c r="N10" s="252"/>
      <x:c r="O10" s="252"/>
      <x:c r="P10" s="252"/>
    </x:row>
    <x:row r="11" spans="1:16147" ht="20.4" customHeight="1" x14ac:dyDescent="0.25">
      <x:c r="B11" s="253"/>
      <x:c r="C11" s="253" t="s">
        <x:v>5</x:v>
      </x:c>
      <x:c r="D11" s="253"/>
      <x:c r="E11" s="253"/>
      <x:c r="F11" s="252"/>
      <x:c r="G11" s="252"/>
      <x:c r="H11" s="252"/>
      <x:c r="I11" s="252"/>
      <x:c r="J11" s="252"/>
      <x:c r="K11" s="252"/>
      <x:c r="L11" s="252"/>
      <x:c r="M11" s="252"/>
      <x:c r="N11" s="252"/>
      <x:c r="O11" s="252"/>
      <x:c r="P11" s="252"/>
    </x:row>
    <x:row r="12" spans="1:16147" ht="15.75" customHeight="1" x14ac:dyDescent="0.25">
      <x:c r="A12" s="252" t="s">
        <x:v>6</x:v>
      </x:c>
      <x:c r="B12" s="146"/>
      <x:c r="C12" s="146"/>
      <x:c r="D12" s="146"/>
      <x:c r="E12" s="146"/>
      <x:c r="F12" s="146"/>
      <x:c r="G12" s="146"/>
      <x:c r="I12" s="146"/>
      <x:c r="J12" s="146"/>
      <x:c r="K12" s="146"/>
      <x:c r="L12" s="146"/>
    </x:row>
    <x:row r="13" spans="1:16147" ht="20.4" customHeight="1" x14ac:dyDescent="0.25">
      <x:c r="B13" s="251"/>
      <x:c r="C13" s="251" t="s">
        <x:v>7</x:v>
      </x:c>
      <x:c r="D13" s="251"/>
      <x:c r="E13" s="251"/>
      <x:c r="F13" s="252">
        <x:f>IF(数据导入!L2="","",数据导入!L2)</x:f>
      </x:c>
      <x:c r="G13" s="252"/>
      <x:c r="H13" s="252"/>
      <x:c r="I13" s="252"/>
      <x:c r="J13" s="252"/>
      <x:c r="K13" s="252"/>
      <x:c r="L13" s="252"/>
      <x:c r="M13" s="252"/>
      <x:c r="N13" s="252"/>
      <x:c r="O13" s="252"/>
      <x:c r="P13" s="252"/>
      <x:c r="Q13" s="252"/>
    </x:row>
    <x:row r="14" spans="1:16147" ht="19.2" customHeight="1" x14ac:dyDescent="0.25">
      <x:c r="B14" s="253"/>
      <x:c r="C14" s="253" t="s">
        <x:v>8</x:v>
      </x:c>
      <x:c r="D14" s="253"/>
      <x:c r="E14" s="253"/>
      <x:c r="F14" s="252"/>
      <x:c r="G14" s="252"/>
      <x:c r="H14" s="252"/>
      <x:c r="I14" s="252"/>
      <x:c r="J14" s="252"/>
      <x:c r="K14" s="252"/>
      <x:c r="L14" s="252"/>
      <x:c r="M14" s="252"/>
      <x:c r="N14" s="252"/>
      <x:c r="O14" s="252"/>
      <x:c r="P14" s="252"/>
      <x:c r="Q14" s="252"/>
    </x:row>
    <x:row r="15" spans="1:16147" ht="15.75" customHeight="1" x14ac:dyDescent="0.25">
      <x:c r="A15" s="254" t="s">
        <x:v>9</x:v>
      </x:c>
      <x:c r="B15" s="146"/>
      <x:c r="C15" s="146"/>
      <x:c r="D15" s="146"/>
      <x:c r="E15" s="146"/>
      <x:c r="F15" s="146"/>
      <x:c r="G15" s="146"/>
      <x:c r="I15" s="146"/>
      <x:c r="J15" s="146"/>
      <x:c r="K15" s="146"/>
      <x:c r="L15" s="146"/>
    </x:row>
    <x:row r="16" spans="1:16147" ht="20.4" customHeight="1" x14ac:dyDescent="0.25">
      <x:c r="B16" s="251"/>
      <x:c r="C16" s="251" t="s">
        <x:v>10</x:v>
      </x:c>
      <x:c r="D16" s="251"/>
      <x:c r="E16" s="251"/>
      <x:c r="F16" s="252">
        <x:f>IFERROR(IF(FIND(数据导入!AH26,数据导入!AI13),"   " &amp;数据导入!AI27),   "   " &amp; 数据导入!AI35)</x:f>
      </x:c>
      <x:c r="G16" s="252"/>
      <x:c r="H16" s="252"/>
      <x:c r="I16" s="252"/>
      <x:c r="J16" s="252"/>
      <x:c r="K16" s="252"/>
      <x:c r="L16" s="252"/>
      <x:c r="M16" s="252"/>
      <x:c r="N16" s="252"/>
      <x:c r="O16" s="252"/>
      <x:c r="P16" s="252"/>
    </x:row>
    <x:row r="17" spans="1:16147" ht="19.2" customHeight="1" x14ac:dyDescent="0.25">
      <x:c r="B17" s="253"/>
      <x:c r="C17" s="253" t="s">
        <x:v>11</x:v>
      </x:c>
      <x:c r="D17" s="253"/>
      <x:c r="E17" s="253"/>
      <x:c r="F17" s="252"/>
      <x:c r="G17" s="252"/>
      <x:c r="H17" s="252"/>
      <x:c r="I17" s="252"/>
      <x:c r="J17" s="252"/>
      <x:c r="K17" s="252"/>
      <x:c r="L17" s="252"/>
      <x:c r="M17" s="252"/>
      <x:c r="N17" s="252"/>
      <x:c r="O17" s="252"/>
      <x:c r="P17" s="252"/>
    </x:row>
    <x:row r="18" spans="1:16147" ht="15.75" customHeight="1" x14ac:dyDescent="0.25">
      <x:c r="A18" s="254" t="s">
        <x:v>12</x:v>
      </x:c>
      <x:c r="B18" s="146"/>
      <x:c r="C18" s="146"/>
      <x:c r="D18" s="146"/>
      <x:c r="E18" s="146"/>
      <x:c r="F18" s="146"/>
      <x:c r="G18" s="146"/>
      <x:c r="I18" s="146"/>
      <x:c r="J18" s="146"/>
      <x:c r="K18" s="146"/>
      <x:c r="L18" s="146"/>
    </x:row>
    <x:row r="19" spans="1:16147" ht="20.4" customHeight="1" x14ac:dyDescent="0.25">
      <x:c r="B19" s="251"/>
      <x:c r="C19" s="251" t="s">
        <x:v>13</x:v>
      </x:c>
      <x:c r="D19" s="251"/>
      <x:c r="E19" s="251"/>
      <x:c r="F19" s="251">
        <x:f>IF(数据导入!AI15="","",数据导入!AI15)</x:f>
      </x:c>
      <x:c r="G19" s="251"/>
      <x:c r="I19" s="251"/>
      <x:c r="J19" s="251"/>
      <x:c r="K19" s="251"/>
      <x:c r="L19" s="251"/>
    </x:row>
    <x:row r="20" spans="1:16147" ht="19.2" customHeight="1" x14ac:dyDescent="0.25">
      <x:c r="B20" s="253"/>
      <x:c r="C20" s="253" t="s">
        <x:v>14</x:v>
      </x:c>
      <x:c r="D20" s="253"/>
      <x:c r="E20" s="253"/>
      <x:c r="F20" s="253"/>
      <x:c r="G20" s="253"/>
      <x:c r="I20" s="253"/>
      <x:c r="J20" s="253"/>
      <x:c r="K20" s="253"/>
      <x:c r="L20" s="253"/>
    </x:row>
    <x:row r="21" spans="1:16147" ht="15.75" customHeight="1" x14ac:dyDescent="0.25">
      <x:c r="A21" s="252"/>
      <x:c r="B21" s="146"/>
      <x:c r="C21" s="146"/>
      <x:c r="D21" s="146"/>
      <x:c r="E21" s="146"/>
      <x:c r="F21" s="146"/>
      <x:c r="G21" s="146"/>
      <x:c r="I21" s="146"/>
      <x:c r="J21" s="146"/>
      <x:c r="K21" s="146"/>
      <x:c r="L21" s="146"/>
    </x:row>
    <x:row r="22" spans="1:16147" ht="20.4" customHeight="1" x14ac:dyDescent="0.25">
      <x:c r="B22" s="251"/>
      <x:c r="C22" s="251" t="s">
        <x:v>15</x:v>
      </x:c>
      <x:c r="D22" s="251"/>
      <x:c r="E22" s="251"/>
      <x:c r="F22" s="252">
        <x:f>IF(数据导入!AI16="","",数据导入!AI16)</x:f>
      </x:c>
      <x:c r="G22" s="252"/>
      <x:c r="H22" s="252"/>
      <x:c r="I22" s="252"/>
      <x:c r="J22" s="252"/>
      <x:c r="K22" s="252"/>
      <x:c r="L22" s="252"/>
      <x:c r="M22" s="252"/>
      <x:c r="N22" s="252"/>
      <x:c r="O22" s="252"/>
      <x:c r="P22" s="252"/>
    </x:row>
    <x:row r="23" spans="1:16147" ht="19.2" customHeight="1" x14ac:dyDescent="0.25">
      <x:c r="B23" s="255"/>
      <x:c r="C23" s="255" t="s">
        <x:v>16</x:v>
      </x:c>
      <x:c r="D23" s="255"/>
      <x:c r="E23" s="255"/>
      <x:c r="F23" s="252"/>
      <x:c r="G23" s="252"/>
      <x:c r="H23" s="252"/>
      <x:c r="I23" s="252"/>
      <x:c r="J23" s="252"/>
      <x:c r="K23" s="252"/>
      <x:c r="L23" s="252"/>
      <x:c r="M23" s="252"/>
      <x:c r="N23" s="252"/>
      <x:c r="O23" s="252"/>
      <x:c r="P23" s="252"/>
    </x:row>
    <x:row r="24" spans="1:16147" ht="24.75" customHeight="1" x14ac:dyDescent="0.25">
      <x:c r="A24" s="237"/>
    </x:row>
    <x:row r="25" spans="1:16147" ht="24.75" customHeight="1" x14ac:dyDescent="0.25">
      <x:c r="A25" s="237"/>
    </x:row>
    <x:row r="26" spans="1:16147" ht="24.75" customHeight="1" x14ac:dyDescent="0.25">
      <x:c r="A26" s="237"/>
    </x:row>
    <x:row r="27" spans="1:16147" ht="24.75" customHeight="1" x14ac:dyDescent="0.25">
      <x:c r="A27" s="237"/>
    </x:row>
    <x:row r="28" spans="1:16147" ht="24.75" customHeight="1" x14ac:dyDescent="0.25">
      <x:c r="A28" s="237"/>
    </x:row>
    <x:row r="29" spans="1:16147" ht="24.75" customHeight="1" x14ac:dyDescent="0.25">
      <x:c r="A29" s="237"/>
    </x:row>
    <x:row r="30" spans="1:16147" ht="25.8" customHeight="1" x14ac:dyDescent="0.25">
      <x:c r="A30" s="276">
        <x:f>IFERROR(IF(FIND(数据导入!AH26,数据导入!AI13),"   " &amp;数据导入!AI27),   "   " &amp; 数据导入!AI35)</x:f>
      </x:c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</x:row>
    <x:row r="31" spans="1:16147" ht="17.4" customHeight="1" x14ac:dyDescent="0.25">
      <x:c r="A31" s="256">
        <x:f>IFERROR(IF(FIND(数据导入!AH26,数据导入!AI13),"   " &amp;数据导入!AI26),   "   " &amp; 数据导入!AI34)</x:f>
      </x:c>
      <x:c r="B31" s="256"/>
      <x:c r="C31" s="256"/>
      <x:c r="D31" s="256"/>
      <x:c r="E31" s="256"/>
      <x:c r="F31" s="256"/>
      <x:c r="G31" s="256"/>
      <x:c r="H31" s="256"/>
      <x:c r="I31" s="256"/>
      <x:c r="J31" s="256"/>
      <x:c r="K31" s="256"/>
      <x:c r="L31" s="256"/>
      <x:c r="M31" s="256"/>
      <x:c r="N31" s="256"/>
      <x:c r="O31" s="256"/>
      <x:c r="P31" s="256"/>
      <x:c r="Q31" s="256"/>
      <x:c r="R31" s="256"/>
      <x:c r="S31" s="256"/>
    </x:row>
    <x:row r="33" spans="1:16147" ht="17.4" customHeight="1" x14ac:dyDescent="0.25">
      <x:c r="A33" s="256"/>
      <x:c r="B33" s="256"/>
      <x:c r="C33" s="256"/>
      <x:c r="D33" s="256"/>
      <x:c r="E33" s="256"/>
      <x:c r="F33" s="256"/>
      <x:c r="G33" s="256"/>
      <x:c r="H33" s="256"/>
      <x:c r="I33" s="256"/>
      <x:c r="J33" s="256"/>
      <x:c r="K33" s="256"/>
      <x:c r="L33" s="256"/>
      <x:c r="M33" s="256"/>
      <x:c r="N33" s="256"/>
      <x:c r="O33" s="256"/>
    </x:row>
    <x:row r="34" spans="1:16147" ht="17.4" customHeight="1" x14ac:dyDescent="0.25">
      <x:c r="A34" s="256"/>
      <x:c r="B34" s="256"/>
      <x:c r="C34" s="256"/>
      <x:c r="D34" s="256"/>
      <x:c r="E34" s="256"/>
      <x:c r="F34" s="256"/>
      <x:c r="G34" s="256"/>
      <x:c r="H34" s="256"/>
      <x:c r="I34" s="256"/>
      <x:c r="J34" s="256"/>
      <x:c r="K34" s="256"/>
      <x:c r="L34" s="256"/>
      <x:c r="M34" s="256"/>
      <x:c r="N34" s="256"/>
      <x:c r="O34" s="256"/>
    </x:row>
    <x:row r="35" spans="1:16147" ht="17.4" customHeight="1" x14ac:dyDescent="0.25">
      <x:c r="A35" s="256"/>
      <x:c r="B35" s="256"/>
      <x:c r="C35" s="256"/>
      <x:c r="D35" s="256"/>
      <x:c r="E35" s="256"/>
      <x:c r="F35" s="256"/>
      <x:c r="G35" s="256"/>
      <x:c r="H35" s="256"/>
      <x:c r="I35" s="256"/>
      <x:c r="J35" s="256"/>
      <x:c r="K35" s="256"/>
      <x:c r="L35" s="256"/>
      <x:c r="M35" s="256"/>
      <x:c r="N35" s="256"/>
      <x:c r="O35" s="256"/>
    </x:row>
    <x:row r="36" spans="1:16147" x14ac:dyDescent="0.25">
      <x:c r="A36" s="140"/>
      <x:c r="B36" s="140"/>
      <x:c r="C36" s="236"/>
      <x:c r="D36" s="142"/>
      <x:c r="E36" s="142"/>
      <x:c r="F36" s="142"/>
      <x:c r="G36" s="236"/>
      <x:c r="H36" s="236"/>
      <x:c r="I36" s="236"/>
      <x:c r="J36" s="236"/>
      <x:c r="L36" s="142"/>
      <x:c r="M36" s="236"/>
      <x:c r="N36" s="142"/>
      <x:c r="O36" s="142"/>
    </x:row>
  </x:sheetData>
  <x:mergeCells count="13">
    <x:mergeCell ref="G1:L1"/>
    <x:mergeCell ref="M1:S1"/>
    <x:mergeCell ref="G2:S2"/>
    <x:mergeCell ref="A4:S4"/>
    <x:mergeCell ref="A5:S5"/>
    <x:mergeCell ref="C10:E10"/>
    <x:mergeCell ref="F10:P11"/>
    <x:mergeCell ref="F13:Q14"/>
    <x:mergeCell ref="F16:P17"/>
    <x:mergeCell ref="F22:P23"/>
    <x:mergeCell ref="A30:S30"/>
    <x:mergeCell ref="A31:S31"/>
    <x:mergeCell ref="G36:J36"/>
  </x:mergeCells>
  <x:phoneticPr fontId="127" type="noConversion"/>
  <x:printOptions horizontalCentered="0" verticalCentered="0" headings="0" gridLines="0"/>
  <x:pageMargins left="0.79" right="0.44" top="0.45" bottom="0.39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40"/>
  <x:sheetViews>
    <x:sheetView topLeftCell="A16" workbookViewId="0">
      <x:selection activeCell="B26" sqref="B26"/>
    </x:sheetView>
  </x:sheetViews>
  <x:sheetFormatPr defaultColWidth="9" defaultRowHeight="15.6" x14ac:dyDescent="0.25"/>
  <x:cols>
    <x:col min="1" max="1" width="2.699219" style="129" customWidth="1"/>
    <x:col min="2" max="2" width="9" style="129" customWidth="1"/>
    <x:col min="3" max="3" width="7" style="129" customWidth="1"/>
    <x:col min="4" max="4" width="4.699219" style="129" customWidth="1"/>
    <x:col min="5" max="5" width="2.5" style="129" customWidth="1"/>
    <x:col min="6" max="6" width="8.5" style="129" customWidth="1"/>
    <x:col min="7" max="7" width="7.699219" style="129" customWidth="1"/>
    <x:col min="8" max="8" width="6.097656" style="129" customWidth="1"/>
    <x:col min="9" max="11" width="3.097656" style="129" customWidth="1"/>
    <x:col min="12" max="12" width="1.699219" style="129" customWidth="1"/>
    <x:col min="13" max="14" width="3.097656" style="129" customWidth="1"/>
    <x:col min="15" max="16" width="3.5" style="129" customWidth="1"/>
    <x:col min="17" max="18" width="3.097656" style="129" customWidth="1"/>
    <x:col min="19" max="19" width="3.398438" style="129" customWidth="1"/>
    <x:col min="20" max="256" width="9" style="129" customWidth="1"/>
    <x:col min="257" max="257" width="4" style="129" customWidth="1"/>
    <x:col min="258" max="258" width="9" style="129" customWidth="1"/>
    <x:col min="259" max="259" width="7" style="129" customWidth="1"/>
    <x:col min="260" max="260" width="5.699219" style="129" customWidth="1"/>
    <x:col min="261" max="261" width="2.5" style="129" customWidth="1"/>
    <x:col min="262" max="263" width="8.5" style="129" customWidth="1"/>
    <x:col min="264" max="264" width="6.097656" style="129" customWidth="1"/>
    <x:col min="265" max="267" width="3.097656" style="129" customWidth="1"/>
    <x:col min="268" max="268" width="4.5" style="129" customWidth="1"/>
    <x:col min="269" max="270" width="3.097656" style="129" customWidth="1"/>
    <x:col min="271" max="272" width="3.5" style="129" customWidth="1"/>
    <x:col min="273" max="275" width="3.097656" style="129" customWidth="1"/>
    <x:col min="276" max="512" width="9" style="129" customWidth="1"/>
    <x:col min="513" max="513" width="4" style="129" customWidth="1"/>
    <x:col min="514" max="514" width="9" style="129" customWidth="1"/>
    <x:col min="515" max="515" width="7" style="129" customWidth="1"/>
    <x:col min="516" max="516" width="5.699219" style="129" customWidth="1"/>
    <x:col min="517" max="517" width="2.5" style="129" customWidth="1"/>
    <x:col min="518" max="519" width="8.5" style="129" customWidth="1"/>
    <x:col min="520" max="520" width="6.097656" style="129" customWidth="1"/>
    <x:col min="521" max="523" width="3.097656" style="129" customWidth="1"/>
    <x:col min="524" max="524" width="4.5" style="129" customWidth="1"/>
    <x:col min="525" max="526" width="3.097656" style="129" customWidth="1"/>
    <x:col min="527" max="528" width="3.5" style="129" customWidth="1"/>
    <x:col min="529" max="531" width="3.097656" style="129" customWidth="1"/>
    <x:col min="532" max="768" width="9" style="129" customWidth="1"/>
    <x:col min="769" max="769" width="4" style="129" customWidth="1"/>
    <x:col min="770" max="770" width="9" style="129" customWidth="1"/>
    <x:col min="771" max="771" width="7" style="129" customWidth="1"/>
    <x:col min="772" max="772" width="5.699219" style="129" customWidth="1"/>
    <x:col min="773" max="773" width="2.5" style="129" customWidth="1"/>
    <x:col min="774" max="775" width="8.5" style="129" customWidth="1"/>
    <x:col min="776" max="776" width="6.097656" style="129" customWidth="1"/>
    <x:col min="777" max="779" width="3.097656" style="129" customWidth="1"/>
    <x:col min="780" max="780" width="4.5" style="129" customWidth="1"/>
    <x:col min="781" max="782" width="3.097656" style="129" customWidth="1"/>
    <x:col min="783" max="784" width="3.5" style="129" customWidth="1"/>
    <x:col min="785" max="787" width="3.097656" style="129" customWidth="1"/>
    <x:col min="788" max="1024" width="9" style="129" customWidth="1"/>
    <x:col min="1025" max="1025" width="4" style="129" customWidth="1"/>
    <x:col min="1026" max="1026" width="9" style="129" customWidth="1"/>
    <x:col min="1027" max="1027" width="7" style="129" customWidth="1"/>
    <x:col min="1028" max="1028" width="5.699219" style="129" customWidth="1"/>
    <x:col min="1029" max="1029" width="2.5" style="129" customWidth="1"/>
    <x:col min="1030" max="1031" width="8.5" style="129" customWidth="1"/>
    <x:col min="1032" max="1032" width="6.097656" style="129" customWidth="1"/>
    <x:col min="1033" max="1035" width="3.097656" style="129" customWidth="1"/>
    <x:col min="1036" max="1036" width="4.5" style="129" customWidth="1"/>
    <x:col min="1037" max="1038" width="3.097656" style="129" customWidth="1"/>
    <x:col min="1039" max="1040" width="3.5" style="129" customWidth="1"/>
    <x:col min="1041" max="1043" width="3.097656" style="129" customWidth="1"/>
    <x:col min="1044" max="1280" width="9" style="129" customWidth="1"/>
    <x:col min="1281" max="1281" width="4" style="129" customWidth="1"/>
    <x:col min="1282" max="1282" width="9" style="129" customWidth="1"/>
    <x:col min="1283" max="1283" width="7" style="129" customWidth="1"/>
    <x:col min="1284" max="1284" width="5.699219" style="129" customWidth="1"/>
    <x:col min="1285" max="1285" width="2.5" style="129" customWidth="1"/>
    <x:col min="1286" max="1287" width="8.5" style="129" customWidth="1"/>
    <x:col min="1288" max="1288" width="6.097656" style="129" customWidth="1"/>
    <x:col min="1289" max="1291" width="3.097656" style="129" customWidth="1"/>
    <x:col min="1292" max="1292" width="4.5" style="129" customWidth="1"/>
    <x:col min="1293" max="1294" width="3.097656" style="129" customWidth="1"/>
    <x:col min="1295" max="1296" width="3.5" style="129" customWidth="1"/>
    <x:col min="1297" max="1299" width="3.097656" style="129" customWidth="1"/>
    <x:col min="1300" max="1536" width="9" style="129" customWidth="1"/>
    <x:col min="1537" max="1537" width="4" style="129" customWidth="1"/>
    <x:col min="1538" max="1538" width="9" style="129" customWidth="1"/>
    <x:col min="1539" max="1539" width="7" style="129" customWidth="1"/>
    <x:col min="1540" max="1540" width="5.699219" style="129" customWidth="1"/>
    <x:col min="1541" max="1541" width="2.5" style="129" customWidth="1"/>
    <x:col min="1542" max="1543" width="8.5" style="129" customWidth="1"/>
    <x:col min="1544" max="1544" width="6.097656" style="129" customWidth="1"/>
    <x:col min="1545" max="1547" width="3.097656" style="129" customWidth="1"/>
    <x:col min="1548" max="1548" width="4.5" style="129" customWidth="1"/>
    <x:col min="1549" max="1550" width="3.097656" style="129" customWidth="1"/>
    <x:col min="1551" max="1552" width="3.5" style="129" customWidth="1"/>
    <x:col min="1553" max="1555" width="3.097656" style="129" customWidth="1"/>
    <x:col min="1556" max="1792" width="9" style="129" customWidth="1"/>
    <x:col min="1793" max="1793" width="4" style="129" customWidth="1"/>
    <x:col min="1794" max="1794" width="9" style="129" customWidth="1"/>
    <x:col min="1795" max="1795" width="7" style="129" customWidth="1"/>
    <x:col min="1796" max="1796" width="5.699219" style="129" customWidth="1"/>
    <x:col min="1797" max="1797" width="2.5" style="129" customWidth="1"/>
    <x:col min="1798" max="1799" width="8.5" style="129" customWidth="1"/>
    <x:col min="1800" max="1800" width="6.097656" style="129" customWidth="1"/>
    <x:col min="1801" max="1803" width="3.097656" style="129" customWidth="1"/>
    <x:col min="1804" max="1804" width="4.5" style="129" customWidth="1"/>
    <x:col min="1805" max="1806" width="3.097656" style="129" customWidth="1"/>
    <x:col min="1807" max="1808" width="3.5" style="129" customWidth="1"/>
    <x:col min="1809" max="1811" width="3.097656" style="129" customWidth="1"/>
    <x:col min="1812" max="2048" width="9" style="129" customWidth="1"/>
    <x:col min="2049" max="2049" width="4" style="129" customWidth="1"/>
    <x:col min="2050" max="2050" width="9" style="129" customWidth="1"/>
    <x:col min="2051" max="2051" width="7" style="129" customWidth="1"/>
    <x:col min="2052" max="2052" width="5.699219" style="129" customWidth="1"/>
    <x:col min="2053" max="2053" width="2.5" style="129" customWidth="1"/>
    <x:col min="2054" max="2055" width="8.5" style="129" customWidth="1"/>
    <x:col min="2056" max="2056" width="6.097656" style="129" customWidth="1"/>
    <x:col min="2057" max="2059" width="3.097656" style="129" customWidth="1"/>
    <x:col min="2060" max="2060" width="4.5" style="129" customWidth="1"/>
    <x:col min="2061" max="2062" width="3.097656" style="129" customWidth="1"/>
    <x:col min="2063" max="2064" width="3.5" style="129" customWidth="1"/>
    <x:col min="2065" max="2067" width="3.097656" style="129" customWidth="1"/>
    <x:col min="2068" max="2304" width="9" style="129" customWidth="1"/>
    <x:col min="2305" max="2305" width="4" style="129" customWidth="1"/>
    <x:col min="2306" max="2306" width="9" style="129" customWidth="1"/>
    <x:col min="2307" max="2307" width="7" style="129" customWidth="1"/>
    <x:col min="2308" max="2308" width="5.699219" style="129" customWidth="1"/>
    <x:col min="2309" max="2309" width="2.5" style="129" customWidth="1"/>
    <x:col min="2310" max="2311" width="8.5" style="129" customWidth="1"/>
    <x:col min="2312" max="2312" width="6.097656" style="129" customWidth="1"/>
    <x:col min="2313" max="2315" width="3.097656" style="129" customWidth="1"/>
    <x:col min="2316" max="2316" width="4.5" style="129" customWidth="1"/>
    <x:col min="2317" max="2318" width="3.097656" style="129" customWidth="1"/>
    <x:col min="2319" max="2320" width="3.5" style="129" customWidth="1"/>
    <x:col min="2321" max="2323" width="3.097656" style="129" customWidth="1"/>
    <x:col min="2324" max="2560" width="9" style="129" customWidth="1"/>
    <x:col min="2561" max="2561" width="4" style="129" customWidth="1"/>
    <x:col min="2562" max="2562" width="9" style="129" customWidth="1"/>
    <x:col min="2563" max="2563" width="7" style="129" customWidth="1"/>
    <x:col min="2564" max="2564" width="5.699219" style="129" customWidth="1"/>
    <x:col min="2565" max="2565" width="2.5" style="129" customWidth="1"/>
    <x:col min="2566" max="2567" width="8.5" style="129" customWidth="1"/>
    <x:col min="2568" max="2568" width="6.097656" style="129" customWidth="1"/>
    <x:col min="2569" max="2571" width="3.097656" style="129" customWidth="1"/>
    <x:col min="2572" max="2572" width="4.5" style="129" customWidth="1"/>
    <x:col min="2573" max="2574" width="3.097656" style="129" customWidth="1"/>
    <x:col min="2575" max="2576" width="3.5" style="129" customWidth="1"/>
    <x:col min="2577" max="2579" width="3.097656" style="129" customWidth="1"/>
    <x:col min="2580" max="2816" width="9" style="129" customWidth="1"/>
    <x:col min="2817" max="2817" width="4" style="129" customWidth="1"/>
    <x:col min="2818" max="2818" width="9" style="129" customWidth="1"/>
    <x:col min="2819" max="2819" width="7" style="129" customWidth="1"/>
    <x:col min="2820" max="2820" width="5.699219" style="129" customWidth="1"/>
    <x:col min="2821" max="2821" width="2.5" style="129" customWidth="1"/>
    <x:col min="2822" max="2823" width="8.5" style="129" customWidth="1"/>
    <x:col min="2824" max="2824" width="6.097656" style="129" customWidth="1"/>
    <x:col min="2825" max="2827" width="3.097656" style="129" customWidth="1"/>
    <x:col min="2828" max="2828" width="4.5" style="129" customWidth="1"/>
    <x:col min="2829" max="2830" width="3.097656" style="129" customWidth="1"/>
    <x:col min="2831" max="2832" width="3.5" style="129" customWidth="1"/>
    <x:col min="2833" max="2835" width="3.097656" style="129" customWidth="1"/>
    <x:col min="2836" max="3072" width="9" style="129" customWidth="1"/>
    <x:col min="3073" max="3073" width="4" style="129" customWidth="1"/>
    <x:col min="3074" max="3074" width="9" style="129" customWidth="1"/>
    <x:col min="3075" max="3075" width="7" style="129" customWidth="1"/>
    <x:col min="3076" max="3076" width="5.699219" style="129" customWidth="1"/>
    <x:col min="3077" max="3077" width="2.5" style="129" customWidth="1"/>
    <x:col min="3078" max="3079" width="8.5" style="129" customWidth="1"/>
    <x:col min="3080" max="3080" width="6.097656" style="129" customWidth="1"/>
    <x:col min="3081" max="3083" width="3.097656" style="129" customWidth="1"/>
    <x:col min="3084" max="3084" width="4.5" style="129" customWidth="1"/>
    <x:col min="3085" max="3086" width="3.097656" style="129" customWidth="1"/>
    <x:col min="3087" max="3088" width="3.5" style="129" customWidth="1"/>
    <x:col min="3089" max="3091" width="3.097656" style="129" customWidth="1"/>
    <x:col min="3092" max="3328" width="9" style="129" customWidth="1"/>
    <x:col min="3329" max="3329" width="4" style="129" customWidth="1"/>
    <x:col min="3330" max="3330" width="9" style="129" customWidth="1"/>
    <x:col min="3331" max="3331" width="7" style="129" customWidth="1"/>
    <x:col min="3332" max="3332" width="5.699219" style="129" customWidth="1"/>
    <x:col min="3333" max="3333" width="2.5" style="129" customWidth="1"/>
    <x:col min="3334" max="3335" width="8.5" style="129" customWidth="1"/>
    <x:col min="3336" max="3336" width="6.097656" style="129" customWidth="1"/>
    <x:col min="3337" max="3339" width="3.097656" style="129" customWidth="1"/>
    <x:col min="3340" max="3340" width="4.5" style="129" customWidth="1"/>
    <x:col min="3341" max="3342" width="3.097656" style="129" customWidth="1"/>
    <x:col min="3343" max="3344" width="3.5" style="129" customWidth="1"/>
    <x:col min="3345" max="3347" width="3.097656" style="129" customWidth="1"/>
    <x:col min="3348" max="3584" width="9" style="129" customWidth="1"/>
    <x:col min="3585" max="3585" width="4" style="129" customWidth="1"/>
    <x:col min="3586" max="3586" width="9" style="129" customWidth="1"/>
    <x:col min="3587" max="3587" width="7" style="129" customWidth="1"/>
    <x:col min="3588" max="3588" width="5.699219" style="129" customWidth="1"/>
    <x:col min="3589" max="3589" width="2.5" style="129" customWidth="1"/>
    <x:col min="3590" max="3591" width="8.5" style="129" customWidth="1"/>
    <x:col min="3592" max="3592" width="6.097656" style="129" customWidth="1"/>
    <x:col min="3593" max="3595" width="3.097656" style="129" customWidth="1"/>
    <x:col min="3596" max="3596" width="4.5" style="129" customWidth="1"/>
    <x:col min="3597" max="3598" width="3.097656" style="129" customWidth="1"/>
    <x:col min="3599" max="3600" width="3.5" style="129" customWidth="1"/>
    <x:col min="3601" max="3603" width="3.097656" style="129" customWidth="1"/>
    <x:col min="3604" max="3840" width="9" style="129" customWidth="1"/>
    <x:col min="3841" max="3841" width="4" style="129" customWidth="1"/>
    <x:col min="3842" max="3842" width="9" style="129" customWidth="1"/>
    <x:col min="3843" max="3843" width="7" style="129" customWidth="1"/>
    <x:col min="3844" max="3844" width="5.699219" style="129" customWidth="1"/>
    <x:col min="3845" max="3845" width="2.5" style="129" customWidth="1"/>
    <x:col min="3846" max="3847" width="8.5" style="129" customWidth="1"/>
    <x:col min="3848" max="3848" width="6.097656" style="129" customWidth="1"/>
    <x:col min="3849" max="3851" width="3.097656" style="129" customWidth="1"/>
    <x:col min="3852" max="3852" width="4.5" style="129" customWidth="1"/>
    <x:col min="3853" max="3854" width="3.097656" style="129" customWidth="1"/>
    <x:col min="3855" max="3856" width="3.5" style="129" customWidth="1"/>
    <x:col min="3857" max="3859" width="3.097656" style="129" customWidth="1"/>
    <x:col min="3860" max="4096" width="9" style="129" customWidth="1"/>
    <x:col min="4097" max="4097" width="4" style="129" customWidth="1"/>
    <x:col min="4098" max="4098" width="9" style="129" customWidth="1"/>
    <x:col min="4099" max="4099" width="7" style="129" customWidth="1"/>
    <x:col min="4100" max="4100" width="5.699219" style="129" customWidth="1"/>
    <x:col min="4101" max="4101" width="2.5" style="129" customWidth="1"/>
    <x:col min="4102" max="4103" width="8.5" style="129" customWidth="1"/>
    <x:col min="4104" max="4104" width="6.097656" style="129" customWidth="1"/>
    <x:col min="4105" max="4107" width="3.097656" style="129" customWidth="1"/>
    <x:col min="4108" max="4108" width="4.5" style="129" customWidth="1"/>
    <x:col min="4109" max="4110" width="3.097656" style="129" customWidth="1"/>
    <x:col min="4111" max="4112" width="3.5" style="129" customWidth="1"/>
    <x:col min="4113" max="4115" width="3.097656" style="129" customWidth="1"/>
    <x:col min="4116" max="4352" width="9" style="129" customWidth="1"/>
    <x:col min="4353" max="4353" width="4" style="129" customWidth="1"/>
    <x:col min="4354" max="4354" width="9" style="129" customWidth="1"/>
    <x:col min="4355" max="4355" width="7" style="129" customWidth="1"/>
    <x:col min="4356" max="4356" width="5.699219" style="129" customWidth="1"/>
    <x:col min="4357" max="4357" width="2.5" style="129" customWidth="1"/>
    <x:col min="4358" max="4359" width="8.5" style="129" customWidth="1"/>
    <x:col min="4360" max="4360" width="6.097656" style="129" customWidth="1"/>
    <x:col min="4361" max="4363" width="3.097656" style="129" customWidth="1"/>
    <x:col min="4364" max="4364" width="4.5" style="129" customWidth="1"/>
    <x:col min="4365" max="4366" width="3.097656" style="129" customWidth="1"/>
    <x:col min="4367" max="4368" width="3.5" style="129" customWidth="1"/>
    <x:col min="4369" max="4371" width="3.097656" style="129" customWidth="1"/>
    <x:col min="4372" max="4608" width="9" style="129" customWidth="1"/>
    <x:col min="4609" max="4609" width="4" style="129" customWidth="1"/>
    <x:col min="4610" max="4610" width="9" style="129" customWidth="1"/>
    <x:col min="4611" max="4611" width="7" style="129" customWidth="1"/>
    <x:col min="4612" max="4612" width="5.699219" style="129" customWidth="1"/>
    <x:col min="4613" max="4613" width="2.5" style="129" customWidth="1"/>
    <x:col min="4614" max="4615" width="8.5" style="129" customWidth="1"/>
    <x:col min="4616" max="4616" width="6.097656" style="129" customWidth="1"/>
    <x:col min="4617" max="4619" width="3.097656" style="129" customWidth="1"/>
    <x:col min="4620" max="4620" width="4.5" style="129" customWidth="1"/>
    <x:col min="4621" max="4622" width="3.097656" style="129" customWidth="1"/>
    <x:col min="4623" max="4624" width="3.5" style="129" customWidth="1"/>
    <x:col min="4625" max="4627" width="3.097656" style="129" customWidth="1"/>
    <x:col min="4628" max="4864" width="9" style="129" customWidth="1"/>
    <x:col min="4865" max="4865" width="4" style="129" customWidth="1"/>
    <x:col min="4866" max="4866" width="9" style="129" customWidth="1"/>
    <x:col min="4867" max="4867" width="7" style="129" customWidth="1"/>
    <x:col min="4868" max="4868" width="5.699219" style="129" customWidth="1"/>
    <x:col min="4869" max="4869" width="2.5" style="129" customWidth="1"/>
    <x:col min="4870" max="4871" width="8.5" style="129" customWidth="1"/>
    <x:col min="4872" max="4872" width="6.097656" style="129" customWidth="1"/>
    <x:col min="4873" max="4875" width="3.097656" style="129" customWidth="1"/>
    <x:col min="4876" max="4876" width="4.5" style="129" customWidth="1"/>
    <x:col min="4877" max="4878" width="3.097656" style="129" customWidth="1"/>
    <x:col min="4879" max="4880" width="3.5" style="129" customWidth="1"/>
    <x:col min="4881" max="4883" width="3.097656" style="129" customWidth="1"/>
    <x:col min="4884" max="5120" width="9" style="129" customWidth="1"/>
    <x:col min="5121" max="5121" width="4" style="129" customWidth="1"/>
    <x:col min="5122" max="5122" width="9" style="129" customWidth="1"/>
    <x:col min="5123" max="5123" width="7" style="129" customWidth="1"/>
    <x:col min="5124" max="5124" width="5.699219" style="129" customWidth="1"/>
    <x:col min="5125" max="5125" width="2.5" style="129" customWidth="1"/>
    <x:col min="5126" max="5127" width="8.5" style="129" customWidth="1"/>
    <x:col min="5128" max="5128" width="6.097656" style="129" customWidth="1"/>
    <x:col min="5129" max="5131" width="3.097656" style="129" customWidth="1"/>
    <x:col min="5132" max="5132" width="4.5" style="129" customWidth="1"/>
    <x:col min="5133" max="5134" width="3.097656" style="129" customWidth="1"/>
    <x:col min="5135" max="5136" width="3.5" style="129" customWidth="1"/>
    <x:col min="5137" max="5139" width="3.097656" style="129" customWidth="1"/>
    <x:col min="5140" max="5376" width="9" style="129" customWidth="1"/>
    <x:col min="5377" max="5377" width="4" style="129" customWidth="1"/>
    <x:col min="5378" max="5378" width="9" style="129" customWidth="1"/>
    <x:col min="5379" max="5379" width="7" style="129" customWidth="1"/>
    <x:col min="5380" max="5380" width="5.699219" style="129" customWidth="1"/>
    <x:col min="5381" max="5381" width="2.5" style="129" customWidth="1"/>
    <x:col min="5382" max="5383" width="8.5" style="129" customWidth="1"/>
    <x:col min="5384" max="5384" width="6.097656" style="129" customWidth="1"/>
    <x:col min="5385" max="5387" width="3.097656" style="129" customWidth="1"/>
    <x:col min="5388" max="5388" width="4.5" style="129" customWidth="1"/>
    <x:col min="5389" max="5390" width="3.097656" style="129" customWidth="1"/>
    <x:col min="5391" max="5392" width="3.5" style="129" customWidth="1"/>
    <x:col min="5393" max="5395" width="3.097656" style="129" customWidth="1"/>
    <x:col min="5396" max="5632" width="9" style="129" customWidth="1"/>
    <x:col min="5633" max="5633" width="4" style="129" customWidth="1"/>
    <x:col min="5634" max="5634" width="9" style="129" customWidth="1"/>
    <x:col min="5635" max="5635" width="7" style="129" customWidth="1"/>
    <x:col min="5636" max="5636" width="5.699219" style="129" customWidth="1"/>
    <x:col min="5637" max="5637" width="2.5" style="129" customWidth="1"/>
    <x:col min="5638" max="5639" width="8.5" style="129" customWidth="1"/>
    <x:col min="5640" max="5640" width="6.097656" style="129" customWidth="1"/>
    <x:col min="5641" max="5643" width="3.097656" style="129" customWidth="1"/>
    <x:col min="5644" max="5644" width="4.5" style="129" customWidth="1"/>
    <x:col min="5645" max="5646" width="3.097656" style="129" customWidth="1"/>
    <x:col min="5647" max="5648" width="3.5" style="129" customWidth="1"/>
    <x:col min="5649" max="5651" width="3.097656" style="129" customWidth="1"/>
    <x:col min="5652" max="5888" width="9" style="129" customWidth="1"/>
    <x:col min="5889" max="5889" width="4" style="129" customWidth="1"/>
    <x:col min="5890" max="5890" width="9" style="129" customWidth="1"/>
    <x:col min="5891" max="5891" width="7" style="129" customWidth="1"/>
    <x:col min="5892" max="5892" width="5.699219" style="129" customWidth="1"/>
    <x:col min="5893" max="5893" width="2.5" style="129" customWidth="1"/>
    <x:col min="5894" max="5895" width="8.5" style="129" customWidth="1"/>
    <x:col min="5896" max="5896" width="6.097656" style="129" customWidth="1"/>
    <x:col min="5897" max="5899" width="3.097656" style="129" customWidth="1"/>
    <x:col min="5900" max="5900" width="4.5" style="129" customWidth="1"/>
    <x:col min="5901" max="5902" width="3.097656" style="129" customWidth="1"/>
    <x:col min="5903" max="5904" width="3.5" style="129" customWidth="1"/>
    <x:col min="5905" max="5907" width="3.097656" style="129" customWidth="1"/>
    <x:col min="5908" max="6144" width="9" style="129" customWidth="1"/>
    <x:col min="6145" max="6145" width="4" style="129" customWidth="1"/>
    <x:col min="6146" max="6146" width="9" style="129" customWidth="1"/>
    <x:col min="6147" max="6147" width="7" style="129" customWidth="1"/>
    <x:col min="6148" max="6148" width="5.699219" style="129" customWidth="1"/>
    <x:col min="6149" max="6149" width="2.5" style="129" customWidth="1"/>
    <x:col min="6150" max="6151" width="8.5" style="129" customWidth="1"/>
    <x:col min="6152" max="6152" width="6.097656" style="129" customWidth="1"/>
    <x:col min="6153" max="6155" width="3.097656" style="129" customWidth="1"/>
    <x:col min="6156" max="6156" width="4.5" style="129" customWidth="1"/>
    <x:col min="6157" max="6158" width="3.097656" style="129" customWidth="1"/>
    <x:col min="6159" max="6160" width="3.5" style="129" customWidth="1"/>
    <x:col min="6161" max="6163" width="3.097656" style="129" customWidth="1"/>
    <x:col min="6164" max="6400" width="9" style="129" customWidth="1"/>
    <x:col min="6401" max="6401" width="4" style="129" customWidth="1"/>
    <x:col min="6402" max="6402" width="9" style="129" customWidth="1"/>
    <x:col min="6403" max="6403" width="7" style="129" customWidth="1"/>
    <x:col min="6404" max="6404" width="5.699219" style="129" customWidth="1"/>
    <x:col min="6405" max="6405" width="2.5" style="129" customWidth="1"/>
    <x:col min="6406" max="6407" width="8.5" style="129" customWidth="1"/>
    <x:col min="6408" max="6408" width="6.097656" style="129" customWidth="1"/>
    <x:col min="6409" max="6411" width="3.097656" style="129" customWidth="1"/>
    <x:col min="6412" max="6412" width="4.5" style="129" customWidth="1"/>
    <x:col min="6413" max="6414" width="3.097656" style="129" customWidth="1"/>
    <x:col min="6415" max="6416" width="3.5" style="129" customWidth="1"/>
    <x:col min="6417" max="6419" width="3.097656" style="129" customWidth="1"/>
    <x:col min="6420" max="6656" width="9" style="129" customWidth="1"/>
    <x:col min="6657" max="6657" width="4" style="129" customWidth="1"/>
    <x:col min="6658" max="6658" width="9" style="129" customWidth="1"/>
    <x:col min="6659" max="6659" width="7" style="129" customWidth="1"/>
    <x:col min="6660" max="6660" width="5.699219" style="129" customWidth="1"/>
    <x:col min="6661" max="6661" width="2.5" style="129" customWidth="1"/>
    <x:col min="6662" max="6663" width="8.5" style="129" customWidth="1"/>
    <x:col min="6664" max="6664" width="6.097656" style="129" customWidth="1"/>
    <x:col min="6665" max="6667" width="3.097656" style="129" customWidth="1"/>
    <x:col min="6668" max="6668" width="4.5" style="129" customWidth="1"/>
    <x:col min="6669" max="6670" width="3.097656" style="129" customWidth="1"/>
    <x:col min="6671" max="6672" width="3.5" style="129" customWidth="1"/>
    <x:col min="6673" max="6675" width="3.097656" style="129" customWidth="1"/>
    <x:col min="6676" max="6912" width="9" style="129" customWidth="1"/>
    <x:col min="6913" max="6913" width="4" style="129" customWidth="1"/>
    <x:col min="6914" max="6914" width="9" style="129" customWidth="1"/>
    <x:col min="6915" max="6915" width="7" style="129" customWidth="1"/>
    <x:col min="6916" max="6916" width="5.699219" style="129" customWidth="1"/>
    <x:col min="6917" max="6917" width="2.5" style="129" customWidth="1"/>
    <x:col min="6918" max="6919" width="8.5" style="129" customWidth="1"/>
    <x:col min="6920" max="6920" width="6.097656" style="129" customWidth="1"/>
    <x:col min="6921" max="6923" width="3.097656" style="129" customWidth="1"/>
    <x:col min="6924" max="6924" width="4.5" style="129" customWidth="1"/>
    <x:col min="6925" max="6926" width="3.097656" style="129" customWidth="1"/>
    <x:col min="6927" max="6928" width="3.5" style="129" customWidth="1"/>
    <x:col min="6929" max="6931" width="3.097656" style="129" customWidth="1"/>
    <x:col min="6932" max="7168" width="9" style="129" customWidth="1"/>
    <x:col min="7169" max="7169" width="4" style="129" customWidth="1"/>
    <x:col min="7170" max="7170" width="9" style="129" customWidth="1"/>
    <x:col min="7171" max="7171" width="7" style="129" customWidth="1"/>
    <x:col min="7172" max="7172" width="5.699219" style="129" customWidth="1"/>
    <x:col min="7173" max="7173" width="2.5" style="129" customWidth="1"/>
    <x:col min="7174" max="7175" width="8.5" style="129" customWidth="1"/>
    <x:col min="7176" max="7176" width="6.097656" style="129" customWidth="1"/>
    <x:col min="7177" max="7179" width="3.097656" style="129" customWidth="1"/>
    <x:col min="7180" max="7180" width="4.5" style="129" customWidth="1"/>
    <x:col min="7181" max="7182" width="3.097656" style="129" customWidth="1"/>
    <x:col min="7183" max="7184" width="3.5" style="129" customWidth="1"/>
    <x:col min="7185" max="7187" width="3.097656" style="129" customWidth="1"/>
    <x:col min="7188" max="7424" width="9" style="129" customWidth="1"/>
    <x:col min="7425" max="7425" width="4" style="129" customWidth="1"/>
    <x:col min="7426" max="7426" width="9" style="129" customWidth="1"/>
    <x:col min="7427" max="7427" width="7" style="129" customWidth="1"/>
    <x:col min="7428" max="7428" width="5.699219" style="129" customWidth="1"/>
    <x:col min="7429" max="7429" width="2.5" style="129" customWidth="1"/>
    <x:col min="7430" max="7431" width="8.5" style="129" customWidth="1"/>
    <x:col min="7432" max="7432" width="6.097656" style="129" customWidth="1"/>
    <x:col min="7433" max="7435" width="3.097656" style="129" customWidth="1"/>
    <x:col min="7436" max="7436" width="4.5" style="129" customWidth="1"/>
    <x:col min="7437" max="7438" width="3.097656" style="129" customWidth="1"/>
    <x:col min="7439" max="7440" width="3.5" style="129" customWidth="1"/>
    <x:col min="7441" max="7443" width="3.097656" style="129" customWidth="1"/>
    <x:col min="7444" max="7680" width="9" style="129" customWidth="1"/>
    <x:col min="7681" max="7681" width="4" style="129" customWidth="1"/>
    <x:col min="7682" max="7682" width="9" style="129" customWidth="1"/>
    <x:col min="7683" max="7683" width="7" style="129" customWidth="1"/>
    <x:col min="7684" max="7684" width="5.699219" style="129" customWidth="1"/>
    <x:col min="7685" max="7685" width="2.5" style="129" customWidth="1"/>
    <x:col min="7686" max="7687" width="8.5" style="129" customWidth="1"/>
    <x:col min="7688" max="7688" width="6.097656" style="129" customWidth="1"/>
    <x:col min="7689" max="7691" width="3.097656" style="129" customWidth="1"/>
    <x:col min="7692" max="7692" width="4.5" style="129" customWidth="1"/>
    <x:col min="7693" max="7694" width="3.097656" style="129" customWidth="1"/>
    <x:col min="7695" max="7696" width="3.5" style="129" customWidth="1"/>
    <x:col min="7697" max="7699" width="3.097656" style="129" customWidth="1"/>
    <x:col min="7700" max="7936" width="9" style="129" customWidth="1"/>
    <x:col min="7937" max="7937" width="4" style="129" customWidth="1"/>
    <x:col min="7938" max="7938" width="9" style="129" customWidth="1"/>
    <x:col min="7939" max="7939" width="7" style="129" customWidth="1"/>
    <x:col min="7940" max="7940" width="5.699219" style="129" customWidth="1"/>
    <x:col min="7941" max="7941" width="2.5" style="129" customWidth="1"/>
    <x:col min="7942" max="7943" width="8.5" style="129" customWidth="1"/>
    <x:col min="7944" max="7944" width="6.097656" style="129" customWidth="1"/>
    <x:col min="7945" max="7947" width="3.097656" style="129" customWidth="1"/>
    <x:col min="7948" max="7948" width="4.5" style="129" customWidth="1"/>
    <x:col min="7949" max="7950" width="3.097656" style="129" customWidth="1"/>
    <x:col min="7951" max="7952" width="3.5" style="129" customWidth="1"/>
    <x:col min="7953" max="7955" width="3.097656" style="129" customWidth="1"/>
    <x:col min="7956" max="8192" width="9" style="129" customWidth="1"/>
    <x:col min="8193" max="8193" width="4" style="129" customWidth="1"/>
    <x:col min="8194" max="8194" width="9" style="129" customWidth="1"/>
    <x:col min="8195" max="8195" width="7" style="129" customWidth="1"/>
    <x:col min="8196" max="8196" width="5.699219" style="129" customWidth="1"/>
    <x:col min="8197" max="8197" width="2.5" style="129" customWidth="1"/>
    <x:col min="8198" max="8199" width="8.5" style="129" customWidth="1"/>
    <x:col min="8200" max="8200" width="6.097656" style="129" customWidth="1"/>
    <x:col min="8201" max="8203" width="3.097656" style="129" customWidth="1"/>
    <x:col min="8204" max="8204" width="4.5" style="129" customWidth="1"/>
    <x:col min="8205" max="8206" width="3.097656" style="129" customWidth="1"/>
    <x:col min="8207" max="8208" width="3.5" style="129" customWidth="1"/>
    <x:col min="8209" max="8211" width="3.097656" style="129" customWidth="1"/>
    <x:col min="8212" max="8448" width="9" style="129" customWidth="1"/>
    <x:col min="8449" max="8449" width="4" style="129" customWidth="1"/>
    <x:col min="8450" max="8450" width="9" style="129" customWidth="1"/>
    <x:col min="8451" max="8451" width="7" style="129" customWidth="1"/>
    <x:col min="8452" max="8452" width="5.699219" style="129" customWidth="1"/>
    <x:col min="8453" max="8453" width="2.5" style="129" customWidth="1"/>
    <x:col min="8454" max="8455" width="8.5" style="129" customWidth="1"/>
    <x:col min="8456" max="8456" width="6.097656" style="129" customWidth="1"/>
    <x:col min="8457" max="8459" width="3.097656" style="129" customWidth="1"/>
    <x:col min="8460" max="8460" width="4.5" style="129" customWidth="1"/>
    <x:col min="8461" max="8462" width="3.097656" style="129" customWidth="1"/>
    <x:col min="8463" max="8464" width="3.5" style="129" customWidth="1"/>
    <x:col min="8465" max="8467" width="3.097656" style="129" customWidth="1"/>
    <x:col min="8468" max="8704" width="9" style="129" customWidth="1"/>
    <x:col min="8705" max="8705" width="4" style="129" customWidth="1"/>
    <x:col min="8706" max="8706" width="9" style="129" customWidth="1"/>
    <x:col min="8707" max="8707" width="7" style="129" customWidth="1"/>
    <x:col min="8708" max="8708" width="5.699219" style="129" customWidth="1"/>
    <x:col min="8709" max="8709" width="2.5" style="129" customWidth="1"/>
    <x:col min="8710" max="8711" width="8.5" style="129" customWidth="1"/>
    <x:col min="8712" max="8712" width="6.097656" style="129" customWidth="1"/>
    <x:col min="8713" max="8715" width="3.097656" style="129" customWidth="1"/>
    <x:col min="8716" max="8716" width="4.5" style="129" customWidth="1"/>
    <x:col min="8717" max="8718" width="3.097656" style="129" customWidth="1"/>
    <x:col min="8719" max="8720" width="3.5" style="129" customWidth="1"/>
    <x:col min="8721" max="8723" width="3.097656" style="129" customWidth="1"/>
    <x:col min="8724" max="8960" width="9" style="129" customWidth="1"/>
    <x:col min="8961" max="8961" width="4" style="129" customWidth="1"/>
    <x:col min="8962" max="8962" width="9" style="129" customWidth="1"/>
    <x:col min="8963" max="8963" width="7" style="129" customWidth="1"/>
    <x:col min="8964" max="8964" width="5.699219" style="129" customWidth="1"/>
    <x:col min="8965" max="8965" width="2.5" style="129" customWidth="1"/>
    <x:col min="8966" max="8967" width="8.5" style="129" customWidth="1"/>
    <x:col min="8968" max="8968" width="6.097656" style="129" customWidth="1"/>
    <x:col min="8969" max="8971" width="3.097656" style="129" customWidth="1"/>
    <x:col min="8972" max="8972" width="4.5" style="129" customWidth="1"/>
    <x:col min="8973" max="8974" width="3.097656" style="129" customWidth="1"/>
    <x:col min="8975" max="8976" width="3.5" style="129" customWidth="1"/>
    <x:col min="8977" max="8979" width="3.097656" style="129" customWidth="1"/>
    <x:col min="8980" max="9216" width="9" style="129" customWidth="1"/>
    <x:col min="9217" max="9217" width="4" style="129" customWidth="1"/>
    <x:col min="9218" max="9218" width="9" style="129" customWidth="1"/>
    <x:col min="9219" max="9219" width="7" style="129" customWidth="1"/>
    <x:col min="9220" max="9220" width="5.699219" style="129" customWidth="1"/>
    <x:col min="9221" max="9221" width="2.5" style="129" customWidth="1"/>
    <x:col min="9222" max="9223" width="8.5" style="129" customWidth="1"/>
    <x:col min="9224" max="9224" width="6.097656" style="129" customWidth="1"/>
    <x:col min="9225" max="9227" width="3.097656" style="129" customWidth="1"/>
    <x:col min="9228" max="9228" width="4.5" style="129" customWidth="1"/>
    <x:col min="9229" max="9230" width="3.097656" style="129" customWidth="1"/>
    <x:col min="9231" max="9232" width="3.5" style="129" customWidth="1"/>
    <x:col min="9233" max="9235" width="3.097656" style="129" customWidth="1"/>
    <x:col min="9236" max="9472" width="9" style="129" customWidth="1"/>
    <x:col min="9473" max="9473" width="4" style="129" customWidth="1"/>
    <x:col min="9474" max="9474" width="9" style="129" customWidth="1"/>
    <x:col min="9475" max="9475" width="7" style="129" customWidth="1"/>
    <x:col min="9476" max="9476" width="5.699219" style="129" customWidth="1"/>
    <x:col min="9477" max="9477" width="2.5" style="129" customWidth="1"/>
    <x:col min="9478" max="9479" width="8.5" style="129" customWidth="1"/>
    <x:col min="9480" max="9480" width="6.097656" style="129" customWidth="1"/>
    <x:col min="9481" max="9483" width="3.097656" style="129" customWidth="1"/>
    <x:col min="9484" max="9484" width="4.5" style="129" customWidth="1"/>
    <x:col min="9485" max="9486" width="3.097656" style="129" customWidth="1"/>
    <x:col min="9487" max="9488" width="3.5" style="129" customWidth="1"/>
    <x:col min="9489" max="9491" width="3.097656" style="129" customWidth="1"/>
    <x:col min="9492" max="9728" width="9" style="129" customWidth="1"/>
    <x:col min="9729" max="9729" width="4" style="129" customWidth="1"/>
    <x:col min="9730" max="9730" width="9" style="129" customWidth="1"/>
    <x:col min="9731" max="9731" width="7" style="129" customWidth="1"/>
    <x:col min="9732" max="9732" width="5.699219" style="129" customWidth="1"/>
    <x:col min="9733" max="9733" width="2.5" style="129" customWidth="1"/>
    <x:col min="9734" max="9735" width="8.5" style="129" customWidth="1"/>
    <x:col min="9736" max="9736" width="6.097656" style="129" customWidth="1"/>
    <x:col min="9737" max="9739" width="3.097656" style="129" customWidth="1"/>
    <x:col min="9740" max="9740" width="4.5" style="129" customWidth="1"/>
    <x:col min="9741" max="9742" width="3.097656" style="129" customWidth="1"/>
    <x:col min="9743" max="9744" width="3.5" style="129" customWidth="1"/>
    <x:col min="9745" max="9747" width="3.097656" style="129" customWidth="1"/>
    <x:col min="9748" max="9984" width="9" style="129" customWidth="1"/>
    <x:col min="9985" max="9985" width="4" style="129" customWidth="1"/>
    <x:col min="9986" max="9986" width="9" style="129" customWidth="1"/>
    <x:col min="9987" max="9987" width="7" style="129" customWidth="1"/>
    <x:col min="9988" max="9988" width="5.699219" style="129" customWidth="1"/>
    <x:col min="9989" max="9989" width="2.5" style="129" customWidth="1"/>
    <x:col min="9990" max="9991" width="8.5" style="129" customWidth="1"/>
    <x:col min="9992" max="9992" width="6.097656" style="129" customWidth="1"/>
    <x:col min="9993" max="9995" width="3.097656" style="129" customWidth="1"/>
    <x:col min="9996" max="9996" width="4.5" style="129" customWidth="1"/>
    <x:col min="9997" max="9998" width="3.097656" style="129" customWidth="1"/>
    <x:col min="9999" max="10000" width="3.5" style="129" customWidth="1"/>
    <x:col min="10001" max="10003" width="3.097656" style="129" customWidth="1"/>
    <x:col min="10004" max="10240" width="9" style="129" customWidth="1"/>
    <x:col min="10241" max="10241" width="4" style="129" customWidth="1"/>
    <x:col min="10242" max="10242" width="9" style="129" customWidth="1"/>
    <x:col min="10243" max="10243" width="7" style="129" customWidth="1"/>
    <x:col min="10244" max="10244" width="5.699219" style="129" customWidth="1"/>
    <x:col min="10245" max="10245" width="2.5" style="129" customWidth="1"/>
    <x:col min="10246" max="10247" width="8.5" style="129" customWidth="1"/>
    <x:col min="10248" max="10248" width="6.097656" style="129" customWidth="1"/>
    <x:col min="10249" max="10251" width="3.097656" style="129" customWidth="1"/>
    <x:col min="10252" max="10252" width="4.5" style="129" customWidth="1"/>
    <x:col min="10253" max="10254" width="3.097656" style="129" customWidth="1"/>
    <x:col min="10255" max="10256" width="3.5" style="129" customWidth="1"/>
    <x:col min="10257" max="10259" width="3.097656" style="129" customWidth="1"/>
    <x:col min="10260" max="10496" width="9" style="129" customWidth="1"/>
    <x:col min="10497" max="10497" width="4" style="129" customWidth="1"/>
    <x:col min="10498" max="10498" width="9" style="129" customWidth="1"/>
    <x:col min="10499" max="10499" width="7" style="129" customWidth="1"/>
    <x:col min="10500" max="10500" width="5.699219" style="129" customWidth="1"/>
    <x:col min="10501" max="10501" width="2.5" style="129" customWidth="1"/>
    <x:col min="10502" max="10503" width="8.5" style="129" customWidth="1"/>
    <x:col min="10504" max="10504" width="6.097656" style="129" customWidth="1"/>
    <x:col min="10505" max="10507" width="3.097656" style="129" customWidth="1"/>
    <x:col min="10508" max="10508" width="4.5" style="129" customWidth="1"/>
    <x:col min="10509" max="10510" width="3.097656" style="129" customWidth="1"/>
    <x:col min="10511" max="10512" width="3.5" style="129" customWidth="1"/>
    <x:col min="10513" max="10515" width="3.097656" style="129" customWidth="1"/>
    <x:col min="10516" max="10752" width="9" style="129" customWidth="1"/>
    <x:col min="10753" max="10753" width="4" style="129" customWidth="1"/>
    <x:col min="10754" max="10754" width="9" style="129" customWidth="1"/>
    <x:col min="10755" max="10755" width="7" style="129" customWidth="1"/>
    <x:col min="10756" max="10756" width="5.699219" style="129" customWidth="1"/>
    <x:col min="10757" max="10757" width="2.5" style="129" customWidth="1"/>
    <x:col min="10758" max="10759" width="8.5" style="129" customWidth="1"/>
    <x:col min="10760" max="10760" width="6.097656" style="129" customWidth="1"/>
    <x:col min="10761" max="10763" width="3.097656" style="129" customWidth="1"/>
    <x:col min="10764" max="10764" width="4.5" style="129" customWidth="1"/>
    <x:col min="10765" max="10766" width="3.097656" style="129" customWidth="1"/>
    <x:col min="10767" max="10768" width="3.5" style="129" customWidth="1"/>
    <x:col min="10769" max="10771" width="3.097656" style="129" customWidth="1"/>
    <x:col min="10772" max="11008" width="9" style="129" customWidth="1"/>
    <x:col min="11009" max="11009" width="4" style="129" customWidth="1"/>
    <x:col min="11010" max="11010" width="9" style="129" customWidth="1"/>
    <x:col min="11011" max="11011" width="7" style="129" customWidth="1"/>
    <x:col min="11012" max="11012" width="5.699219" style="129" customWidth="1"/>
    <x:col min="11013" max="11013" width="2.5" style="129" customWidth="1"/>
    <x:col min="11014" max="11015" width="8.5" style="129" customWidth="1"/>
    <x:col min="11016" max="11016" width="6.097656" style="129" customWidth="1"/>
    <x:col min="11017" max="11019" width="3.097656" style="129" customWidth="1"/>
    <x:col min="11020" max="11020" width="4.5" style="129" customWidth="1"/>
    <x:col min="11021" max="11022" width="3.097656" style="129" customWidth="1"/>
    <x:col min="11023" max="11024" width="3.5" style="129" customWidth="1"/>
    <x:col min="11025" max="11027" width="3.097656" style="129" customWidth="1"/>
    <x:col min="11028" max="11264" width="9" style="129" customWidth="1"/>
    <x:col min="11265" max="11265" width="4" style="129" customWidth="1"/>
    <x:col min="11266" max="11266" width="9" style="129" customWidth="1"/>
    <x:col min="11267" max="11267" width="7" style="129" customWidth="1"/>
    <x:col min="11268" max="11268" width="5.699219" style="129" customWidth="1"/>
    <x:col min="11269" max="11269" width="2.5" style="129" customWidth="1"/>
    <x:col min="11270" max="11271" width="8.5" style="129" customWidth="1"/>
    <x:col min="11272" max="11272" width="6.097656" style="129" customWidth="1"/>
    <x:col min="11273" max="11275" width="3.097656" style="129" customWidth="1"/>
    <x:col min="11276" max="11276" width="4.5" style="129" customWidth="1"/>
    <x:col min="11277" max="11278" width="3.097656" style="129" customWidth="1"/>
    <x:col min="11279" max="11280" width="3.5" style="129" customWidth="1"/>
    <x:col min="11281" max="11283" width="3.097656" style="129" customWidth="1"/>
    <x:col min="11284" max="11520" width="9" style="129" customWidth="1"/>
    <x:col min="11521" max="11521" width="4" style="129" customWidth="1"/>
    <x:col min="11522" max="11522" width="9" style="129" customWidth="1"/>
    <x:col min="11523" max="11523" width="7" style="129" customWidth="1"/>
    <x:col min="11524" max="11524" width="5.699219" style="129" customWidth="1"/>
    <x:col min="11525" max="11525" width="2.5" style="129" customWidth="1"/>
    <x:col min="11526" max="11527" width="8.5" style="129" customWidth="1"/>
    <x:col min="11528" max="11528" width="6.097656" style="129" customWidth="1"/>
    <x:col min="11529" max="11531" width="3.097656" style="129" customWidth="1"/>
    <x:col min="11532" max="11532" width="4.5" style="129" customWidth="1"/>
    <x:col min="11533" max="11534" width="3.097656" style="129" customWidth="1"/>
    <x:col min="11535" max="11536" width="3.5" style="129" customWidth="1"/>
    <x:col min="11537" max="11539" width="3.097656" style="129" customWidth="1"/>
    <x:col min="11540" max="11776" width="9" style="129" customWidth="1"/>
    <x:col min="11777" max="11777" width="4" style="129" customWidth="1"/>
    <x:col min="11778" max="11778" width="9" style="129" customWidth="1"/>
    <x:col min="11779" max="11779" width="7" style="129" customWidth="1"/>
    <x:col min="11780" max="11780" width="5.699219" style="129" customWidth="1"/>
    <x:col min="11781" max="11781" width="2.5" style="129" customWidth="1"/>
    <x:col min="11782" max="11783" width="8.5" style="129" customWidth="1"/>
    <x:col min="11784" max="11784" width="6.097656" style="129" customWidth="1"/>
    <x:col min="11785" max="11787" width="3.097656" style="129" customWidth="1"/>
    <x:col min="11788" max="11788" width="4.5" style="129" customWidth="1"/>
    <x:col min="11789" max="11790" width="3.097656" style="129" customWidth="1"/>
    <x:col min="11791" max="11792" width="3.5" style="129" customWidth="1"/>
    <x:col min="11793" max="11795" width="3.097656" style="129" customWidth="1"/>
    <x:col min="11796" max="12032" width="9" style="129" customWidth="1"/>
    <x:col min="12033" max="12033" width="4" style="129" customWidth="1"/>
    <x:col min="12034" max="12034" width="9" style="129" customWidth="1"/>
    <x:col min="12035" max="12035" width="7" style="129" customWidth="1"/>
    <x:col min="12036" max="12036" width="5.699219" style="129" customWidth="1"/>
    <x:col min="12037" max="12037" width="2.5" style="129" customWidth="1"/>
    <x:col min="12038" max="12039" width="8.5" style="129" customWidth="1"/>
    <x:col min="12040" max="12040" width="6.097656" style="129" customWidth="1"/>
    <x:col min="12041" max="12043" width="3.097656" style="129" customWidth="1"/>
    <x:col min="12044" max="12044" width="4.5" style="129" customWidth="1"/>
    <x:col min="12045" max="12046" width="3.097656" style="129" customWidth="1"/>
    <x:col min="12047" max="12048" width="3.5" style="129" customWidth="1"/>
    <x:col min="12049" max="12051" width="3.097656" style="129" customWidth="1"/>
    <x:col min="12052" max="12288" width="9" style="129" customWidth="1"/>
    <x:col min="12289" max="12289" width="4" style="129" customWidth="1"/>
    <x:col min="12290" max="12290" width="9" style="129" customWidth="1"/>
    <x:col min="12291" max="12291" width="7" style="129" customWidth="1"/>
    <x:col min="12292" max="12292" width="5.699219" style="129" customWidth="1"/>
    <x:col min="12293" max="12293" width="2.5" style="129" customWidth="1"/>
    <x:col min="12294" max="12295" width="8.5" style="129" customWidth="1"/>
    <x:col min="12296" max="12296" width="6.097656" style="129" customWidth="1"/>
    <x:col min="12297" max="12299" width="3.097656" style="129" customWidth="1"/>
    <x:col min="12300" max="12300" width="4.5" style="129" customWidth="1"/>
    <x:col min="12301" max="12302" width="3.097656" style="129" customWidth="1"/>
    <x:col min="12303" max="12304" width="3.5" style="129" customWidth="1"/>
    <x:col min="12305" max="12307" width="3.097656" style="129" customWidth="1"/>
    <x:col min="12308" max="12544" width="9" style="129" customWidth="1"/>
    <x:col min="12545" max="12545" width="4" style="129" customWidth="1"/>
    <x:col min="12546" max="12546" width="9" style="129" customWidth="1"/>
    <x:col min="12547" max="12547" width="7" style="129" customWidth="1"/>
    <x:col min="12548" max="12548" width="5.699219" style="129" customWidth="1"/>
    <x:col min="12549" max="12549" width="2.5" style="129" customWidth="1"/>
    <x:col min="12550" max="12551" width="8.5" style="129" customWidth="1"/>
    <x:col min="12552" max="12552" width="6.097656" style="129" customWidth="1"/>
    <x:col min="12553" max="12555" width="3.097656" style="129" customWidth="1"/>
    <x:col min="12556" max="12556" width="4.5" style="129" customWidth="1"/>
    <x:col min="12557" max="12558" width="3.097656" style="129" customWidth="1"/>
    <x:col min="12559" max="12560" width="3.5" style="129" customWidth="1"/>
    <x:col min="12561" max="12563" width="3.097656" style="129" customWidth="1"/>
    <x:col min="12564" max="12800" width="9" style="129" customWidth="1"/>
    <x:col min="12801" max="12801" width="4" style="129" customWidth="1"/>
    <x:col min="12802" max="12802" width="9" style="129" customWidth="1"/>
    <x:col min="12803" max="12803" width="7" style="129" customWidth="1"/>
    <x:col min="12804" max="12804" width="5.699219" style="129" customWidth="1"/>
    <x:col min="12805" max="12805" width="2.5" style="129" customWidth="1"/>
    <x:col min="12806" max="12807" width="8.5" style="129" customWidth="1"/>
    <x:col min="12808" max="12808" width="6.097656" style="129" customWidth="1"/>
    <x:col min="12809" max="12811" width="3.097656" style="129" customWidth="1"/>
    <x:col min="12812" max="12812" width="4.5" style="129" customWidth="1"/>
    <x:col min="12813" max="12814" width="3.097656" style="129" customWidth="1"/>
    <x:col min="12815" max="12816" width="3.5" style="129" customWidth="1"/>
    <x:col min="12817" max="12819" width="3.097656" style="129" customWidth="1"/>
    <x:col min="12820" max="13056" width="9" style="129" customWidth="1"/>
    <x:col min="13057" max="13057" width="4" style="129" customWidth="1"/>
    <x:col min="13058" max="13058" width="9" style="129" customWidth="1"/>
    <x:col min="13059" max="13059" width="7" style="129" customWidth="1"/>
    <x:col min="13060" max="13060" width="5.699219" style="129" customWidth="1"/>
    <x:col min="13061" max="13061" width="2.5" style="129" customWidth="1"/>
    <x:col min="13062" max="13063" width="8.5" style="129" customWidth="1"/>
    <x:col min="13064" max="13064" width="6.097656" style="129" customWidth="1"/>
    <x:col min="13065" max="13067" width="3.097656" style="129" customWidth="1"/>
    <x:col min="13068" max="13068" width="4.5" style="129" customWidth="1"/>
    <x:col min="13069" max="13070" width="3.097656" style="129" customWidth="1"/>
    <x:col min="13071" max="13072" width="3.5" style="129" customWidth="1"/>
    <x:col min="13073" max="13075" width="3.097656" style="129" customWidth="1"/>
    <x:col min="13076" max="13312" width="9" style="129" customWidth="1"/>
    <x:col min="13313" max="13313" width="4" style="129" customWidth="1"/>
    <x:col min="13314" max="13314" width="9" style="129" customWidth="1"/>
    <x:col min="13315" max="13315" width="7" style="129" customWidth="1"/>
    <x:col min="13316" max="13316" width="5.699219" style="129" customWidth="1"/>
    <x:col min="13317" max="13317" width="2.5" style="129" customWidth="1"/>
    <x:col min="13318" max="13319" width="8.5" style="129" customWidth="1"/>
    <x:col min="13320" max="13320" width="6.097656" style="129" customWidth="1"/>
    <x:col min="13321" max="13323" width="3.097656" style="129" customWidth="1"/>
    <x:col min="13324" max="13324" width="4.5" style="129" customWidth="1"/>
    <x:col min="13325" max="13326" width="3.097656" style="129" customWidth="1"/>
    <x:col min="13327" max="13328" width="3.5" style="129" customWidth="1"/>
    <x:col min="13329" max="13331" width="3.097656" style="129" customWidth="1"/>
    <x:col min="13332" max="13568" width="9" style="129" customWidth="1"/>
    <x:col min="13569" max="13569" width="4" style="129" customWidth="1"/>
    <x:col min="13570" max="13570" width="9" style="129" customWidth="1"/>
    <x:col min="13571" max="13571" width="7" style="129" customWidth="1"/>
    <x:col min="13572" max="13572" width="5.699219" style="129" customWidth="1"/>
    <x:col min="13573" max="13573" width="2.5" style="129" customWidth="1"/>
    <x:col min="13574" max="13575" width="8.5" style="129" customWidth="1"/>
    <x:col min="13576" max="13576" width="6.097656" style="129" customWidth="1"/>
    <x:col min="13577" max="13579" width="3.097656" style="129" customWidth="1"/>
    <x:col min="13580" max="13580" width="4.5" style="129" customWidth="1"/>
    <x:col min="13581" max="13582" width="3.097656" style="129" customWidth="1"/>
    <x:col min="13583" max="13584" width="3.5" style="129" customWidth="1"/>
    <x:col min="13585" max="13587" width="3.097656" style="129" customWidth="1"/>
    <x:col min="13588" max="13824" width="9" style="129" customWidth="1"/>
    <x:col min="13825" max="13825" width="4" style="129" customWidth="1"/>
    <x:col min="13826" max="13826" width="9" style="129" customWidth="1"/>
    <x:col min="13827" max="13827" width="7" style="129" customWidth="1"/>
    <x:col min="13828" max="13828" width="5.699219" style="129" customWidth="1"/>
    <x:col min="13829" max="13829" width="2.5" style="129" customWidth="1"/>
    <x:col min="13830" max="13831" width="8.5" style="129" customWidth="1"/>
    <x:col min="13832" max="13832" width="6.097656" style="129" customWidth="1"/>
    <x:col min="13833" max="13835" width="3.097656" style="129" customWidth="1"/>
    <x:col min="13836" max="13836" width="4.5" style="129" customWidth="1"/>
    <x:col min="13837" max="13838" width="3.097656" style="129" customWidth="1"/>
    <x:col min="13839" max="13840" width="3.5" style="129" customWidth="1"/>
    <x:col min="13841" max="13843" width="3.097656" style="129" customWidth="1"/>
    <x:col min="13844" max="14080" width="9" style="129" customWidth="1"/>
    <x:col min="14081" max="14081" width="4" style="129" customWidth="1"/>
    <x:col min="14082" max="14082" width="9" style="129" customWidth="1"/>
    <x:col min="14083" max="14083" width="7" style="129" customWidth="1"/>
    <x:col min="14084" max="14084" width="5.699219" style="129" customWidth="1"/>
    <x:col min="14085" max="14085" width="2.5" style="129" customWidth="1"/>
    <x:col min="14086" max="14087" width="8.5" style="129" customWidth="1"/>
    <x:col min="14088" max="14088" width="6.097656" style="129" customWidth="1"/>
    <x:col min="14089" max="14091" width="3.097656" style="129" customWidth="1"/>
    <x:col min="14092" max="14092" width="4.5" style="129" customWidth="1"/>
    <x:col min="14093" max="14094" width="3.097656" style="129" customWidth="1"/>
    <x:col min="14095" max="14096" width="3.5" style="129" customWidth="1"/>
    <x:col min="14097" max="14099" width="3.097656" style="129" customWidth="1"/>
    <x:col min="14100" max="14336" width="9" style="129" customWidth="1"/>
    <x:col min="14337" max="14337" width="4" style="129" customWidth="1"/>
    <x:col min="14338" max="14338" width="9" style="129" customWidth="1"/>
    <x:col min="14339" max="14339" width="7" style="129" customWidth="1"/>
    <x:col min="14340" max="14340" width="5.699219" style="129" customWidth="1"/>
    <x:col min="14341" max="14341" width="2.5" style="129" customWidth="1"/>
    <x:col min="14342" max="14343" width="8.5" style="129" customWidth="1"/>
    <x:col min="14344" max="14344" width="6.097656" style="129" customWidth="1"/>
    <x:col min="14345" max="14347" width="3.097656" style="129" customWidth="1"/>
    <x:col min="14348" max="14348" width="4.5" style="129" customWidth="1"/>
    <x:col min="14349" max="14350" width="3.097656" style="129" customWidth="1"/>
    <x:col min="14351" max="14352" width="3.5" style="129" customWidth="1"/>
    <x:col min="14353" max="14355" width="3.097656" style="129" customWidth="1"/>
    <x:col min="14356" max="14592" width="9" style="129" customWidth="1"/>
    <x:col min="14593" max="14593" width="4" style="129" customWidth="1"/>
    <x:col min="14594" max="14594" width="9" style="129" customWidth="1"/>
    <x:col min="14595" max="14595" width="7" style="129" customWidth="1"/>
    <x:col min="14596" max="14596" width="5.699219" style="129" customWidth="1"/>
    <x:col min="14597" max="14597" width="2.5" style="129" customWidth="1"/>
    <x:col min="14598" max="14599" width="8.5" style="129" customWidth="1"/>
    <x:col min="14600" max="14600" width="6.097656" style="129" customWidth="1"/>
    <x:col min="14601" max="14603" width="3.097656" style="129" customWidth="1"/>
    <x:col min="14604" max="14604" width="4.5" style="129" customWidth="1"/>
    <x:col min="14605" max="14606" width="3.097656" style="129" customWidth="1"/>
    <x:col min="14607" max="14608" width="3.5" style="129" customWidth="1"/>
    <x:col min="14609" max="14611" width="3.097656" style="129" customWidth="1"/>
    <x:col min="14612" max="14848" width="9" style="129" customWidth="1"/>
    <x:col min="14849" max="14849" width="4" style="129" customWidth="1"/>
    <x:col min="14850" max="14850" width="9" style="129" customWidth="1"/>
    <x:col min="14851" max="14851" width="7" style="129" customWidth="1"/>
    <x:col min="14852" max="14852" width="5.699219" style="129" customWidth="1"/>
    <x:col min="14853" max="14853" width="2.5" style="129" customWidth="1"/>
    <x:col min="14854" max="14855" width="8.5" style="129" customWidth="1"/>
    <x:col min="14856" max="14856" width="6.097656" style="129" customWidth="1"/>
    <x:col min="14857" max="14859" width="3.097656" style="129" customWidth="1"/>
    <x:col min="14860" max="14860" width="4.5" style="129" customWidth="1"/>
    <x:col min="14861" max="14862" width="3.097656" style="129" customWidth="1"/>
    <x:col min="14863" max="14864" width="3.5" style="129" customWidth="1"/>
    <x:col min="14865" max="14867" width="3.097656" style="129" customWidth="1"/>
    <x:col min="14868" max="15104" width="9" style="129" customWidth="1"/>
    <x:col min="15105" max="15105" width="4" style="129" customWidth="1"/>
    <x:col min="15106" max="15106" width="9" style="129" customWidth="1"/>
    <x:col min="15107" max="15107" width="7" style="129" customWidth="1"/>
    <x:col min="15108" max="15108" width="5.699219" style="129" customWidth="1"/>
    <x:col min="15109" max="15109" width="2.5" style="129" customWidth="1"/>
    <x:col min="15110" max="15111" width="8.5" style="129" customWidth="1"/>
    <x:col min="15112" max="15112" width="6.097656" style="129" customWidth="1"/>
    <x:col min="15113" max="15115" width="3.097656" style="129" customWidth="1"/>
    <x:col min="15116" max="15116" width="4.5" style="129" customWidth="1"/>
    <x:col min="15117" max="15118" width="3.097656" style="129" customWidth="1"/>
    <x:col min="15119" max="15120" width="3.5" style="129" customWidth="1"/>
    <x:col min="15121" max="15123" width="3.097656" style="129" customWidth="1"/>
    <x:col min="15124" max="15360" width="9" style="129" customWidth="1"/>
    <x:col min="15361" max="15361" width="4" style="129" customWidth="1"/>
    <x:col min="15362" max="15362" width="9" style="129" customWidth="1"/>
    <x:col min="15363" max="15363" width="7" style="129" customWidth="1"/>
    <x:col min="15364" max="15364" width="5.699219" style="129" customWidth="1"/>
    <x:col min="15365" max="15365" width="2.5" style="129" customWidth="1"/>
    <x:col min="15366" max="15367" width="8.5" style="129" customWidth="1"/>
    <x:col min="15368" max="15368" width="6.097656" style="129" customWidth="1"/>
    <x:col min="15369" max="15371" width="3.097656" style="129" customWidth="1"/>
    <x:col min="15372" max="15372" width="4.5" style="129" customWidth="1"/>
    <x:col min="15373" max="15374" width="3.097656" style="129" customWidth="1"/>
    <x:col min="15375" max="15376" width="3.5" style="129" customWidth="1"/>
    <x:col min="15377" max="15379" width="3.097656" style="129" customWidth="1"/>
    <x:col min="15380" max="15616" width="9" style="129" customWidth="1"/>
    <x:col min="15617" max="15617" width="4" style="129" customWidth="1"/>
    <x:col min="15618" max="15618" width="9" style="129" customWidth="1"/>
    <x:col min="15619" max="15619" width="7" style="129" customWidth="1"/>
    <x:col min="15620" max="15620" width="5.699219" style="129" customWidth="1"/>
    <x:col min="15621" max="15621" width="2.5" style="129" customWidth="1"/>
    <x:col min="15622" max="15623" width="8.5" style="129" customWidth="1"/>
    <x:col min="15624" max="15624" width="6.097656" style="129" customWidth="1"/>
    <x:col min="15625" max="15627" width="3.097656" style="129" customWidth="1"/>
    <x:col min="15628" max="15628" width="4.5" style="129" customWidth="1"/>
    <x:col min="15629" max="15630" width="3.097656" style="129" customWidth="1"/>
    <x:col min="15631" max="15632" width="3.5" style="129" customWidth="1"/>
    <x:col min="15633" max="15635" width="3.097656" style="129" customWidth="1"/>
    <x:col min="15636" max="15872" width="9" style="129" customWidth="1"/>
    <x:col min="15873" max="15873" width="4" style="129" customWidth="1"/>
    <x:col min="15874" max="15874" width="9" style="129" customWidth="1"/>
    <x:col min="15875" max="15875" width="7" style="129" customWidth="1"/>
    <x:col min="15876" max="15876" width="5.699219" style="129" customWidth="1"/>
    <x:col min="15877" max="15877" width="2.5" style="129" customWidth="1"/>
    <x:col min="15878" max="15879" width="8.5" style="129" customWidth="1"/>
    <x:col min="15880" max="15880" width="6.097656" style="129" customWidth="1"/>
    <x:col min="15881" max="15883" width="3.097656" style="129" customWidth="1"/>
    <x:col min="15884" max="15884" width="4.5" style="129" customWidth="1"/>
    <x:col min="15885" max="15886" width="3.097656" style="129" customWidth="1"/>
    <x:col min="15887" max="15888" width="3.5" style="129" customWidth="1"/>
    <x:col min="15889" max="15891" width="3.097656" style="129" customWidth="1"/>
    <x:col min="15892" max="16128" width="9" style="129" customWidth="1"/>
    <x:col min="16129" max="16129" width="4" style="129" customWidth="1"/>
    <x:col min="16130" max="16130" width="9" style="129" customWidth="1"/>
    <x:col min="16131" max="16131" width="7" style="129" customWidth="1"/>
    <x:col min="16132" max="16132" width="5.699219" style="129" customWidth="1"/>
    <x:col min="16133" max="16133" width="2.5" style="129" customWidth="1"/>
    <x:col min="16134" max="16135" width="8.5" style="129" customWidth="1"/>
    <x:col min="16136" max="16136" width="6.097656" style="129" customWidth="1"/>
    <x:col min="16137" max="16139" width="3.097656" style="129" customWidth="1"/>
    <x:col min="16140" max="16140" width="4.5" style="129" customWidth="1"/>
    <x:col min="16141" max="16142" width="3.097656" style="129" customWidth="1"/>
    <x:col min="16143" max="16144" width="3.5" style="129" customWidth="1"/>
    <x:col min="16145" max="16147" width="3.097656" style="129" customWidth="1"/>
    <x:col min="16148" max="16384" width="9" style="129" customWidth="1"/>
  </x:cols>
  <x:sheetData>
    <x:row r="1" spans="1:16147" ht="14.4" customHeight="1" x14ac:dyDescent="0.25">
      <x:c r="A1" s="140"/>
      <x:c r="B1" s="140"/>
      <x:c r="C1" s="236"/>
      <x:c r="D1" s="142"/>
      <x:c r="E1" s="142"/>
      <x:c r="F1" s="142"/>
      <x:c r="H1" s="235" t="s">
        <x:v>0</x:v>
      </x:c>
      <x:c r="I1" s="235"/>
      <x:c r="J1" s="235"/>
      <x:c r="K1" s="235"/>
      <x:c r="L1" s="235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13.5" customHeight="1" x14ac:dyDescent="0.25">
      <x:c r="A2" s="140"/>
      <x:c r="B2" s="140"/>
      <x:c r="C2" s="236"/>
      <x:c r="D2" s="142"/>
      <x:c r="E2" s="142"/>
      <x:c r="F2" s="142"/>
      <x:c r="H2" s="143" t="s">
        <x:v>17</x:v>
      </x:c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  <x:c r="T2" s="143"/>
    </x:row>
    <x:row r="3" spans="1:16147" ht="45" customHeight="1" x14ac:dyDescent="0.25">
      <x:c r="A3" s="237" t="s">
        <x:v>18</x:v>
      </x:c>
      <x:c r="B3" s="237"/>
      <x:c r="C3" s="237"/>
      <x:c r="D3" s="237"/>
      <x:c r="E3" s="237"/>
      <x:c r="F3" s="237"/>
      <x:c r="G3" s="237"/>
      <x:c r="H3" s="237"/>
      <x:c r="I3" s="237"/>
      <x:c r="J3" s="237"/>
      <x:c r="K3" s="237"/>
      <x:c r="L3" s="237"/>
      <x:c r="M3" s="237"/>
      <x:c r="N3" s="237"/>
      <x:c r="O3" s="237"/>
      <x:c r="P3" s="237"/>
      <x:c r="Q3" s="237"/>
      <x:c r="R3" s="237"/>
      <x:c r="S3" s="237"/>
    </x:row>
    <x:row r="4" spans="1:16147" ht="27.75" customHeight="1" x14ac:dyDescent="0.25">
      <x:c r="A4" s="292" t="s">
        <x:v>19</x:v>
      </x:c>
      <x:c r="B4" s="292"/>
      <x:c r="C4" s="292"/>
      <x:c r="D4" s="292"/>
      <x:c r="E4" s="292"/>
      <x:c r="F4" s="292"/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</x:row>
    <x:row r="5" spans="1:16147" ht="24" customHeight="1" x14ac:dyDescent="0.25">
      <x:c r="A5" s="238"/>
      <x:c r="B5" s="238"/>
      <x:c r="C5" s="238"/>
      <x:c r="D5" s="238"/>
      <x:c r="E5" s="238"/>
      <x:c r="F5" s="238"/>
      <x:c r="G5" s="238"/>
      <x:c r="H5" s="238"/>
      <x:c r="I5" s="238"/>
      <x:c r="J5" s="238"/>
      <x:c r="K5" s="238"/>
      <x:c r="L5" s="238"/>
      <x:c r="M5" s="238"/>
      <x:c r="N5" s="238"/>
      <x:c r="O5" s="238"/>
      <x:c r="P5" s="238"/>
      <x:c r="Q5" s="238"/>
    </x:row>
    <x:row r="6" spans="1:16147" ht="24" customHeight="1" x14ac:dyDescent="0.25">
      <x:c r="A6" s="238"/>
      <x:c r="B6" s="238"/>
      <x:c r="C6" s="238"/>
      <x:c r="D6" s="238"/>
      <x:c r="E6" s="238"/>
      <x:c r="F6" s="238"/>
      <x:c r="G6" s="238"/>
      <x:c r="H6" s="238"/>
      <x:c r="I6" s="238"/>
      <x:c r="J6" s="238"/>
      <x:c r="K6" s="238"/>
      <x:c r="L6" s="238"/>
      <x:c r="M6" s="238"/>
      <x:c r="N6" s="238"/>
      <x:c r="O6" s="238"/>
      <x:c r="P6" s="238"/>
      <x:c r="Q6" s="238"/>
    </x:row>
    <x:row r="7" spans="1:16147" ht="15.9" customHeight="1" x14ac:dyDescent="0.25">
      <x:c r="B7" s="239" t="s">
        <x:v>20</x:v>
      </x:c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  <x:c r="M7" s="130"/>
    </x:row>
    <x:row r="8" spans="1:16147" ht="15.9" customHeight="1" x14ac:dyDescent="0.25">
      <x:c r="B8" s="240" t="s">
        <x:v>21</x:v>
      </x:c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</x:row>
    <x:row r="9" spans="1:16147" x14ac:dyDescent="0.25">
      <x:c r="A9" s="136"/>
    </x:row>
    <x:row r="10" spans="1:16147" ht="45" customHeight="1" x14ac:dyDescent="0.25">
      <x:c r="A10" s="287" t="s">
        <x:v>22</x:v>
      </x:c>
      <x:c r="B10" s="287"/>
      <x:c r="C10" s="287"/>
      <x:c r="D10" s="287"/>
      <x:c r="E10" s="287"/>
      <x:c r="F10" s="287" t="s">
        <x:v>23</x:v>
      </x:c>
      <x:c r="G10" s="287"/>
      <x:c r="H10" s="287" t="s">
        <x:v>24</x:v>
      </x:c>
      <x:c r="I10" s="287"/>
      <x:c r="J10" s="287"/>
      <x:c r="K10" s="287"/>
      <x:c r="L10" s="287"/>
      <x:c r="M10" s="288" t="s">
        <x:v>25</x:v>
      </x:c>
      <x:c r="N10" s="288"/>
      <x:c r="O10" s="288"/>
      <x:c r="P10" s="288"/>
      <x:c r="Q10" s="288"/>
      <x:c r="R10" s="288"/>
    </x:row>
    <x:row r="11" spans="1:16147" x14ac:dyDescent="0.25">
      <x:c r="A11" s="241"/>
      <x:c r="B11" s="241"/>
      <x:c r="C11" s="241"/>
      <x:c r="D11" s="241"/>
      <x:c r="E11" s="241"/>
      <x:c r="F11" s="241"/>
      <x:c r="G11" s="241"/>
      <x:c r="H11" s="241"/>
      <x:c r="I11" s="241"/>
      <x:c r="J11" s="241"/>
      <x:c r="K11" s="241"/>
      <x:c r="L11" s="241"/>
      <x:c r="M11" s="241"/>
      <x:c r="N11" s="241"/>
      <x:c r="O11" s="241"/>
      <x:c r="P11" s="241"/>
      <x:c r="Q11" s="247"/>
    </x:row>
    <x:row r="12" spans="1:16147" ht="30.9" customHeight="1" x14ac:dyDescent="0.25">
      <x:c r="A12" s="242" t="s">
        <x:v>26</x:v>
      </x:c>
      <x:c r="B12" s="242"/>
      <x:c r="C12" s="242"/>
      <x:c r="D12" s="242"/>
      <x:c r="E12" s="242"/>
      <x:c r="F12" s="243"/>
      <x:c r="G12" s="243"/>
      <x:c r="H12" s="244"/>
      <x:c r="I12" s="244"/>
      <x:c r="J12" s="244"/>
      <x:c r="K12" s="244"/>
      <x:c r="L12" s="244"/>
      <x:c r="M12" s="243"/>
      <x:c r="N12" s="243"/>
      <x:c r="O12" s="243"/>
      <x:c r="P12" s="243"/>
      <x:c r="Q12" s="243"/>
      <x:c r="R12" s="243"/>
    </x:row>
    <x:row r="13" spans="1:16147" ht="30.9" customHeight="1" x14ac:dyDescent="0.25">
      <x:c r="A13" s="242" t="s">
        <x:v>27</x:v>
      </x:c>
      <x:c r="B13" s="242"/>
      <x:c r="C13" s="242"/>
      <x:c r="D13" s="242"/>
      <x:c r="E13" s="242"/>
      <x:c r="F13" s="243"/>
      <x:c r="G13" s="243"/>
      <x:c r="H13" s="244"/>
      <x:c r="I13" s="244"/>
      <x:c r="J13" s="244"/>
      <x:c r="K13" s="244"/>
      <x:c r="L13" s="244"/>
      <x:c r="M13" s="243"/>
      <x:c r="N13" s="243"/>
      <x:c r="O13" s="243"/>
      <x:c r="P13" s="243"/>
      <x:c r="Q13" s="243"/>
      <x:c r="R13" s="243"/>
    </x:row>
    <x:row r="14" spans="1:16147" x14ac:dyDescent="0.25">
      <x:c r="A14" s="242" t="s">
        <x:v>27</x:v>
      </x:c>
      <x:c r="B14" s="242"/>
      <x:c r="C14" s="242"/>
      <x:c r="D14" s="242"/>
      <x:c r="E14" s="242"/>
      <x:c r="F14" s="286"/>
      <x:c r="G14" s="286"/>
      <x:c r="H14" s="244"/>
      <x:c r="I14" s="244"/>
      <x:c r="J14" s="244"/>
      <x:c r="K14" s="244"/>
      <x:c r="L14" s="244"/>
      <x:c r="M14" s="286"/>
      <x:c r="N14" s="286"/>
      <x:c r="O14" s="286"/>
      <x:c r="P14" s="286"/>
      <x:c r="Q14" s="286"/>
      <x:c r="R14" s="286"/>
    </x:row>
    <x:row r="15" spans="1:16147" ht="30.9" customHeight="1" x14ac:dyDescent="0.25">
      <x:c r="A15" s="242" t="s">
        <x:v>28</x:v>
      </x:c>
      <x:c r="B15" s="242"/>
      <x:c r="C15" s="242"/>
      <x:c r="D15" s="242"/>
      <x:c r="E15" s="242"/>
      <x:c r="F15" s="243"/>
      <x:c r="G15" s="243"/>
      <x:c r="H15" s="244"/>
      <x:c r="I15" s="244"/>
      <x:c r="J15" s="244"/>
      <x:c r="K15" s="244"/>
      <x:c r="L15" s="244"/>
      <x:c r="M15" s="243"/>
      <x:c r="N15" s="243"/>
      <x:c r="O15" s="243"/>
      <x:c r="P15" s="243"/>
      <x:c r="Q15" s="243"/>
      <x:c r="R15" s="243"/>
    </x:row>
    <x:row r="16" spans="1:16147" ht="30.9" customHeight="1" x14ac:dyDescent="0.25">
      <x:c r="A16" s="242" t="s">
        <x:v>29</x:v>
      </x:c>
      <x:c r="B16" s="242"/>
      <x:c r="C16" s="242"/>
      <x:c r="D16" s="242"/>
      <x:c r="E16" s="242"/>
      <x:c r="F16" s="243"/>
      <x:c r="G16" s="243"/>
      <x:c r="H16" s="244"/>
      <x:c r="I16" s="244"/>
      <x:c r="J16" s="244"/>
      <x:c r="K16" s="244"/>
      <x:c r="L16" s="244"/>
      <x:c r="M16" s="243"/>
      <x:c r="N16" s="243"/>
      <x:c r="O16" s="243"/>
      <x:c r="P16" s="243"/>
      <x:c r="Q16" s="243"/>
      <x:c r="R16" s="243"/>
    </x:row>
    <x:row r="17" spans="1:16147" ht="30.9" customHeight="1" x14ac:dyDescent="0.25">
      <x:c r="A17" s="242" t="s">
        <x:v>30</x:v>
      </x:c>
      <x:c r="B17" s="242"/>
      <x:c r="C17" s="242"/>
      <x:c r="D17" s="242"/>
      <x:c r="E17" s="242"/>
      <x:c r="F17" s="243"/>
      <x:c r="G17" s="243"/>
      <x:c r="H17" s="244"/>
      <x:c r="I17" s="244"/>
      <x:c r="J17" s="244"/>
      <x:c r="K17" s="244"/>
      <x:c r="L17" s="244"/>
      <x:c r="M17" s="243"/>
      <x:c r="N17" s="243"/>
      <x:c r="O17" s="243"/>
      <x:c r="P17" s="243"/>
      <x:c r="Q17" s="243"/>
      <x:c r="R17" s="243"/>
    </x:row>
    <x:row r="18" spans="1:16147" ht="30.9" customHeight="1" x14ac:dyDescent="0.25">
      <x:c r="A18" s="242" t="s">
        <x:v>30</x:v>
      </x:c>
      <x:c r="B18" s="242"/>
      <x:c r="C18" s="242"/>
      <x:c r="D18" s="242"/>
      <x:c r="E18" s="242"/>
      <x:c r="F18" s="243"/>
      <x:c r="G18" s="243"/>
      <x:c r="H18" s="244"/>
      <x:c r="I18" s="244"/>
      <x:c r="J18" s="244"/>
      <x:c r="K18" s="244"/>
      <x:c r="L18" s="244"/>
      <x:c r="M18" s="243"/>
      <x:c r="N18" s="243"/>
      <x:c r="O18" s="243"/>
      <x:c r="P18" s="243"/>
      <x:c r="Q18" s="243"/>
      <x:c r="R18" s="243"/>
    </x:row>
    <x:row r="19" spans="1:16147" ht="30.9" customHeight="1" x14ac:dyDescent="0.25">
      <x:c r="A19" s="242" t="s">
        <x:v>31</x:v>
      </x:c>
      <x:c r="B19" s="242"/>
      <x:c r="C19" s="242"/>
      <x:c r="D19" s="242"/>
      <x:c r="E19" s="242"/>
      <x:c r="F19" s="243"/>
      <x:c r="G19" s="243"/>
      <x:c r="H19" s="244"/>
      <x:c r="I19" s="244"/>
      <x:c r="J19" s="244"/>
      <x:c r="K19" s="244"/>
      <x:c r="L19" s="244"/>
      <x:c r="M19" s="243"/>
      <x:c r="N19" s="243"/>
      <x:c r="O19" s="243"/>
      <x:c r="P19" s="243"/>
      <x:c r="Q19" s="243"/>
      <x:c r="R19" s="243"/>
    </x:row>
    <x:row r="20" spans="1:16147" ht="19.5" customHeight="1" x14ac:dyDescent="0.25">
      <x:c r="A20" s="242"/>
      <x:c r="B20" s="242"/>
      <x:c r="C20" s="242"/>
      <x:c r="D20" s="242"/>
      <x:c r="E20" s="242"/>
      <x:c r="F20" s="243"/>
      <x:c r="G20" s="243"/>
      <x:c r="H20" s="244"/>
      <x:c r="I20" s="244"/>
      <x:c r="J20" s="244"/>
      <x:c r="K20" s="244"/>
      <x:c r="L20" s="244"/>
      <x:c r="M20" s="243"/>
      <x:c r="N20" s="243"/>
      <x:c r="O20" s="243"/>
      <x:c r="P20" s="243"/>
    </x:row>
    <x:row r="21" spans="1:16147" ht="19.5" customHeight="1" x14ac:dyDescent="0.25">
      <x:c r="A21" s="242"/>
      <x:c r="B21" s="242"/>
      <x:c r="C21" s="242"/>
      <x:c r="D21" s="242"/>
      <x:c r="E21" s="242"/>
      <x:c r="F21" s="243"/>
      <x:c r="G21" s="243"/>
      <x:c r="H21" s="244"/>
      <x:c r="I21" s="244"/>
      <x:c r="J21" s="244"/>
      <x:c r="K21" s="244"/>
      <x:c r="L21" s="244"/>
      <x:c r="M21" s="243"/>
      <x:c r="N21" s="243"/>
      <x:c r="O21" s="243"/>
      <x:c r="P21" s="243"/>
    </x:row>
    <x:row r="22" spans="1:16147" ht="19.5" customHeight="1" x14ac:dyDescent="0.25">
      <x:c r="A22" s="136"/>
    </x:row>
    <x:row r="23" spans="1:16147" x14ac:dyDescent="0.25">
      <x:c r="B23" s="130" t="s">
        <x:v>32</x:v>
      </x:c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  <x:c r="M23" s="130"/>
      <x:c r="N23" s="130"/>
      <x:c r="O23" s="130"/>
      <x:c r="P23" s="130"/>
      <x:c r="Q23" s="130"/>
    </x:row>
    <x:row r="24" spans="1:16147" x14ac:dyDescent="0.25">
      <x:c r="B24" s="240" t="s">
        <x:v>33</x:v>
      </x:c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  <x:c r="N24" s="240"/>
      <x:c r="O24" s="240"/>
      <x:c r="P24" s="240"/>
      <x:c r="Q24" s="240"/>
    </x:row>
    <x:row r="25" spans="1:16147" x14ac:dyDescent="0.25">
      <x:c r="A25" s="136"/>
    </x:row>
    <x:row r="26" spans="1:16147" x14ac:dyDescent="0.25">
      <x:c r="B26" s="245">
        <x:f>IFERROR(IF(FIND(数据导入!AH26,数据导入!AI13),"   " &amp;数据导入!AI30),   "   " &amp; 数据导入!AI37)</x:f>
      </x:c>
      <x:c r="C26" s="245"/>
      <x:c r="D26" s="245"/>
      <x:c r="E26" s="245"/>
      <x:c r="F26" s="245"/>
      <x:c r="G26" s="245"/>
      <x:c r="H26" s="245"/>
      <x:c r="I26" s="245"/>
      <x:c r="J26" s="245"/>
      <x:c r="K26" s="245"/>
      <x:c r="L26" s="245"/>
      <x:c r="M26" s="245"/>
      <x:c r="N26" s="245"/>
      <x:c r="O26" s="245"/>
      <x:c r="P26" s="245"/>
      <x:c r="Q26" s="245"/>
    </x:row>
    <x:row r="27" spans="1:16147" x14ac:dyDescent="0.25">
      <x:c r="B27" s="240">
        <x:f>IFERROR(IF(FIND(数据导入!AH26,数据导入!AI13),"   " &amp;数据导入!AI28),   "   " &amp; 数据导入!AI36)</x:f>
      </x:c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  <x:c r="N27" s="240"/>
      <x:c r="O27" s="240"/>
      <x:c r="P27" s="240"/>
      <x:c r="Q27" s="240"/>
    </x:row>
    <x:row r="28" spans="1:16147" x14ac:dyDescent="0.25">
      <x:c r="A28" s="136"/>
    </x:row>
    <x:row r="29" spans="1:16147" x14ac:dyDescent="0.25">
      <x:c r="B29" s="245" t="s">
        <x:v>34</x:v>
      </x:c>
      <x:c r="C29" s="245"/>
      <x:c r="D29" s="245"/>
      <x:c r="F29" s="245" t="s">
        <x:v>35</x:v>
      </x:c>
      <x:c r="G29" s="245"/>
      <x:c r="H29" s="245"/>
      <x:c r="I29" s="245"/>
      <x:c r="J29" s="245"/>
      <x:c r="K29" s="245"/>
      <x:c r="L29" s="245"/>
      <x:c r="M29" s="245"/>
      <x:c r="N29" s="245"/>
      <x:c r="O29" s="245"/>
      <x:c r="P29" s="245"/>
      <x:c r="Q29" s="245"/>
    </x:row>
    <x:row r="30" spans="1:16147" x14ac:dyDescent="0.25">
      <x:c r="B30" s="240" t="s">
        <x:v>36</x:v>
      </x:c>
      <x:c r="C30" s="240"/>
      <x:c r="D30" s="246">
        <x:v>3.7399254714365E-41</x:v>
      </x:c>
      <x:c r="E30" s="240" t="s">
        <x:v>37</x:v>
      </x:c>
      <x:c r="F30" s="240" t="s">
        <x:v>38</x:v>
      </x:c>
      <x:c r="G30" s="246">
        <x:v>60</x:v>
      </x:c>
      <x:c r="H30" s="240" t="s">
        <x:v>39</x:v>
      </x:c>
      <x:c r="I30" s="240"/>
      <x:c r="J30" s="240"/>
      <x:c r="K30" s="240"/>
      <x:c r="L30" s="240"/>
      <x:c r="M30" s="240"/>
      <x:c r="N30" s="240"/>
      <x:c r="O30" s="240"/>
      <x:c r="P30" s="240"/>
      <x:c r="Q30" s="240"/>
    </x:row>
    <x:row r="31" spans="1:16147" x14ac:dyDescent="0.25">
      <x:c r="A31" s="136"/>
    </x:row>
    <x:row r="32" spans="1:16147" x14ac:dyDescent="0.25">
      <x:c r="B32" s="130" t="s">
        <x:v>40</x:v>
      </x:c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  <x:c r="M32" s="130"/>
      <x:c r="N32" s="130"/>
      <x:c r="O32" s="130"/>
      <x:c r="P32" s="130"/>
      <x:c r="Q32" s="130"/>
    </x:row>
    <x:row r="33" spans="1:16147" x14ac:dyDescent="0.25">
      <x:c r="B33" s="240" t="s">
        <x:v>41</x:v>
      </x:c>
      <x:c r="C33" s="240"/>
      <x:c r="D33" s="240"/>
      <x:c r="E33" s="240"/>
      <x:c r="F33" s="240"/>
      <x:c r="G33" s="240"/>
      <x:c r="H33" s="240"/>
      <x:c r="I33" s="240"/>
      <x:c r="J33" s="240"/>
      <x:c r="K33" s="240"/>
      <x:c r="L33" s="240"/>
      <x:c r="M33" s="240"/>
      <x:c r="N33" s="240"/>
      <x:c r="O33" s="240"/>
      <x:c r="P33" s="240"/>
      <x:c r="Q33" s="240"/>
    </x:row>
    <x:row r="34" spans="1:16147" ht="11.1" customHeight="1" x14ac:dyDescent="0.25">
      <x:c r="A34" s="136"/>
    </x:row>
    <x:row r="35" spans="1:16147" ht="9" customHeight="1" x14ac:dyDescent="0.25">
      <x:c r="A35" s="136"/>
    </x:row>
    <x:row r="36" spans="1:16147" ht="9" customHeight="1" x14ac:dyDescent="0.25">
      <x:c r="A36" s="136"/>
    </x:row>
    <x:row r="37" spans="1:16147" ht="9" customHeight="1" x14ac:dyDescent="0.25">
      <x:c r="A37" s="136"/>
    </x:row>
    <x:row r="38" spans="1:16147" ht="9" customHeight="1" x14ac:dyDescent="0.25">
      <x:c r="A38" s="136"/>
    </x:row>
    <x:row r="39" spans="1:16147" x14ac:dyDescent="0.25">
      <x:c r="A39" s="136"/>
    </x:row>
    <x:row r="40" spans="1:16147" x14ac:dyDescent="0.25">
      <x:c r="Q40" s="142"/>
    </x:row>
  </x:sheetData>
  <x:mergeCells count="45">
    <x:mergeCell ref="H1:L1"/>
    <x:mergeCell ref="M1:S1"/>
    <x:mergeCell ref="H2:S2"/>
    <x:mergeCell ref="A3:S3"/>
    <x:mergeCell ref="A4:S4"/>
    <x:mergeCell ref="A10:E10"/>
    <x:mergeCell ref="F10:G10"/>
    <x:mergeCell ref="H10:L10"/>
    <x:mergeCell ref="M10:R10"/>
    <x:mergeCell ref="A11:E11"/>
    <x:mergeCell ref="F11:G11"/>
    <x:mergeCell ref="H11:L11"/>
    <x:mergeCell ref="M11:N11"/>
    <x:mergeCell ref="A12:E12"/>
    <x:mergeCell ref="F12:G12"/>
    <x:mergeCell ref="H12:L12"/>
    <x:mergeCell ref="M12:R12"/>
    <x:mergeCell ref="A13:E13"/>
    <x:mergeCell ref="F13:G13"/>
    <x:mergeCell ref="H13:L13"/>
    <x:mergeCell ref="M13:R13"/>
    <x:mergeCell ref="A14:E14"/>
    <x:mergeCell ref="F14:G14"/>
    <x:mergeCell ref="H14:L14"/>
    <x:mergeCell ref="M14:R14"/>
    <x:mergeCell ref="A15:E15"/>
    <x:mergeCell ref="F15:G15"/>
    <x:mergeCell ref="H15:L15"/>
    <x:mergeCell ref="M15:R15"/>
    <x:mergeCell ref="A16:E16"/>
    <x:mergeCell ref="F16:G16"/>
    <x:mergeCell ref="H16:L16"/>
    <x:mergeCell ref="M16:R16"/>
    <x:mergeCell ref="A17:E17"/>
    <x:mergeCell ref="F17:G17"/>
    <x:mergeCell ref="H17:L17"/>
    <x:mergeCell ref="M17:R17"/>
    <x:mergeCell ref="A18:E18"/>
    <x:mergeCell ref="F18:G18"/>
    <x:mergeCell ref="H18:L18"/>
    <x:mergeCell ref="M18:R18"/>
    <x:mergeCell ref="A19:E19"/>
    <x:mergeCell ref="F19:G19"/>
    <x:mergeCell ref="H19:L19"/>
    <x:mergeCell ref="M19:R19"/>
  </x:mergeCells>
  <x:phoneticPr fontId="127" type="noConversion"/>
  <x:printOptions horizontalCentered="0" verticalCentered="0" headings="0" gridLines="0"/>
  <x:pageMargins left="0.74" right="0.51" top="0.47" bottom="0.47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32"/>
  <x:sheetViews>
    <x:sheetView workbookViewId="0">
      <x:selection activeCell="A3" sqref="A3 A3:X3"/>
    </x:sheetView>
  </x:sheetViews>
  <x:sheetFormatPr defaultColWidth="9" defaultRowHeight="15.6" x14ac:dyDescent="0.25"/>
  <x:cols>
    <x:col min="1" max="3" width="3.699219" style="129" customWidth="1"/>
    <x:col min="4" max="4" width="3.398438" style="129" customWidth="1"/>
    <x:col min="5" max="5" width="1.699219" style="129" customWidth="1"/>
    <x:col min="6" max="6" width="4.898438" style="129" customWidth="1"/>
    <x:col min="7" max="7" width="5.898438" style="129" customWidth="1"/>
    <x:col min="8" max="8" width="2.097656" style="129" customWidth="1"/>
    <x:col min="9" max="10" width="4.898438" style="129" customWidth="1"/>
    <x:col min="11" max="16" width="3.097656" style="129" customWidth="1"/>
    <x:col min="17" max="17" width="0.699219" style="129" customWidth="1"/>
    <x:col min="18" max="20" width="3.097656" style="129" customWidth="1"/>
    <x:col min="21" max="21" width="3.5" style="129" customWidth="1"/>
    <x:col min="22" max="23" width="3.097656" style="129" customWidth="1"/>
    <x:col min="24" max="24" width="3.898438" style="129" customWidth="1"/>
    <x:col min="25" max="256" width="9" style="129" customWidth="1"/>
    <x:col min="257" max="260" width="3.699219" style="129" customWidth="1"/>
    <x:col min="261" max="261" width="3" style="129" customWidth="1"/>
    <x:col min="262" max="262" width="4.898438" style="129" customWidth="1"/>
    <x:col min="263" max="263" width="5.898438" style="129" customWidth="1"/>
    <x:col min="264" max="264" width="2.097656" style="129" customWidth="1"/>
    <x:col min="265" max="265" width="4.898438" style="129" customWidth="1"/>
    <x:col min="266" max="266" width="5.199219" style="129" customWidth="1"/>
    <x:col min="267" max="276" width="3.097656" style="129" customWidth="1"/>
    <x:col min="277" max="277" width="3.5" style="129" customWidth="1"/>
    <x:col min="278" max="279" width="3.097656" style="129" customWidth="1"/>
    <x:col min="280" max="280" width="3.898438" style="129" customWidth="1"/>
    <x:col min="281" max="512" width="9" style="129" customWidth="1"/>
    <x:col min="513" max="516" width="3.699219" style="129" customWidth="1"/>
    <x:col min="517" max="517" width="3" style="129" customWidth="1"/>
    <x:col min="518" max="518" width="4.898438" style="129" customWidth="1"/>
    <x:col min="519" max="519" width="5.898438" style="129" customWidth="1"/>
    <x:col min="520" max="520" width="2.097656" style="129" customWidth="1"/>
    <x:col min="521" max="521" width="4.898438" style="129" customWidth="1"/>
    <x:col min="522" max="522" width="5.199219" style="129" customWidth="1"/>
    <x:col min="523" max="532" width="3.097656" style="129" customWidth="1"/>
    <x:col min="533" max="533" width="3.5" style="129" customWidth="1"/>
    <x:col min="534" max="535" width="3.097656" style="129" customWidth="1"/>
    <x:col min="536" max="536" width="3.898438" style="129" customWidth="1"/>
    <x:col min="537" max="768" width="9" style="129" customWidth="1"/>
    <x:col min="769" max="772" width="3.699219" style="129" customWidth="1"/>
    <x:col min="773" max="773" width="3" style="129" customWidth="1"/>
    <x:col min="774" max="774" width="4.898438" style="129" customWidth="1"/>
    <x:col min="775" max="775" width="5.898438" style="129" customWidth="1"/>
    <x:col min="776" max="776" width="2.097656" style="129" customWidth="1"/>
    <x:col min="777" max="777" width="4.898438" style="129" customWidth="1"/>
    <x:col min="778" max="778" width="5.199219" style="129" customWidth="1"/>
    <x:col min="779" max="788" width="3.097656" style="129" customWidth="1"/>
    <x:col min="789" max="789" width="3.5" style="129" customWidth="1"/>
    <x:col min="790" max="791" width="3.097656" style="129" customWidth="1"/>
    <x:col min="792" max="792" width="3.898438" style="129" customWidth="1"/>
    <x:col min="793" max="1024" width="9" style="129" customWidth="1"/>
    <x:col min="1025" max="1028" width="3.699219" style="129" customWidth="1"/>
    <x:col min="1029" max="1029" width="3" style="129" customWidth="1"/>
    <x:col min="1030" max="1030" width="4.898438" style="129" customWidth="1"/>
    <x:col min="1031" max="1031" width="5.898438" style="129" customWidth="1"/>
    <x:col min="1032" max="1032" width="2.097656" style="129" customWidth="1"/>
    <x:col min="1033" max="1033" width="4.898438" style="129" customWidth="1"/>
    <x:col min="1034" max="1034" width="5.199219" style="129" customWidth="1"/>
    <x:col min="1035" max="1044" width="3.097656" style="129" customWidth="1"/>
    <x:col min="1045" max="1045" width="3.5" style="129" customWidth="1"/>
    <x:col min="1046" max="1047" width="3.097656" style="129" customWidth="1"/>
    <x:col min="1048" max="1048" width="3.898438" style="129" customWidth="1"/>
    <x:col min="1049" max="1280" width="9" style="129" customWidth="1"/>
    <x:col min="1281" max="1284" width="3.699219" style="129" customWidth="1"/>
    <x:col min="1285" max="1285" width="3" style="129" customWidth="1"/>
    <x:col min="1286" max="1286" width="4.898438" style="129" customWidth="1"/>
    <x:col min="1287" max="1287" width="5.898438" style="129" customWidth="1"/>
    <x:col min="1288" max="1288" width="2.097656" style="129" customWidth="1"/>
    <x:col min="1289" max="1289" width="4.898438" style="129" customWidth="1"/>
    <x:col min="1290" max="1290" width="5.199219" style="129" customWidth="1"/>
    <x:col min="1291" max="1300" width="3.097656" style="129" customWidth="1"/>
    <x:col min="1301" max="1301" width="3.5" style="129" customWidth="1"/>
    <x:col min="1302" max="1303" width="3.097656" style="129" customWidth="1"/>
    <x:col min="1304" max="1304" width="3.898438" style="129" customWidth="1"/>
    <x:col min="1305" max="1536" width="9" style="129" customWidth="1"/>
    <x:col min="1537" max="1540" width="3.699219" style="129" customWidth="1"/>
    <x:col min="1541" max="1541" width="3" style="129" customWidth="1"/>
    <x:col min="1542" max="1542" width="4.898438" style="129" customWidth="1"/>
    <x:col min="1543" max="1543" width="5.898438" style="129" customWidth="1"/>
    <x:col min="1544" max="1544" width="2.097656" style="129" customWidth="1"/>
    <x:col min="1545" max="1545" width="4.898438" style="129" customWidth="1"/>
    <x:col min="1546" max="1546" width="5.199219" style="129" customWidth="1"/>
    <x:col min="1547" max="1556" width="3.097656" style="129" customWidth="1"/>
    <x:col min="1557" max="1557" width="3.5" style="129" customWidth="1"/>
    <x:col min="1558" max="1559" width="3.097656" style="129" customWidth="1"/>
    <x:col min="1560" max="1560" width="3.898438" style="129" customWidth="1"/>
    <x:col min="1561" max="1792" width="9" style="129" customWidth="1"/>
    <x:col min="1793" max="1796" width="3.699219" style="129" customWidth="1"/>
    <x:col min="1797" max="1797" width="3" style="129" customWidth="1"/>
    <x:col min="1798" max="1798" width="4.898438" style="129" customWidth="1"/>
    <x:col min="1799" max="1799" width="5.898438" style="129" customWidth="1"/>
    <x:col min="1800" max="1800" width="2.097656" style="129" customWidth="1"/>
    <x:col min="1801" max="1801" width="4.898438" style="129" customWidth="1"/>
    <x:col min="1802" max="1802" width="5.199219" style="129" customWidth="1"/>
    <x:col min="1803" max="1812" width="3.097656" style="129" customWidth="1"/>
    <x:col min="1813" max="1813" width="3.5" style="129" customWidth="1"/>
    <x:col min="1814" max="1815" width="3.097656" style="129" customWidth="1"/>
    <x:col min="1816" max="1816" width="3.898438" style="129" customWidth="1"/>
    <x:col min="1817" max="2048" width="9" style="129" customWidth="1"/>
    <x:col min="2049" max="2052" width="3.699219" style="129" customWidth="1"/>
    <x:col min="2053" max="2053" width="3" style="129" customWidth="1"/>
    <x:col min="2054" max="2054" width="4.898438" style="129" customWidth="1"/>
    <x:col min="2055" max="2055" width="5.898438" style="129" customWidth="1"/>
    <x:col min="2056" max="2056" width="2.097656" style="129" customWidth="1"/>
    <x:col min="2057" max="2057" width="4.898438" style="129" customWidth="1"/>
    <x:col min="2058" max="2058" width="5.199219" style="129" customWidth="1"/>
    <x:col min="2059" max="2068" width="3.097656" style="129" customWidth="1"/>
    <x:col min="2069" max="2069" width="3.5" style="129" customWidth="1"/>
    <x:col min="2070" max="2071" width="3.097656" style="129" customWidth="1"/>
    <x:col min="2072" max="2072" width="3.898438" style="129" customWidth="1"/>
    <x:col min="2073" max="2304" width="9" style="129" customWidth="1"/>
    <x:col min="2305" max="2308" width="3.699219" style="129" customWidth="1"/>
    <x:col min="2309" max="2309" width="3" style="129" customWidth="1"/>
    <x:col min="2310" max="2310" width="4.898438" style="129" customWidth="1"/>
    <x:col min="2311" max="2311" width="5.898438" style="129" customWidth="1"/>
    <x:col min="2312" max="2312" width="2.097656" style="129" customWidth="1"/>
    <x:col min="2313" max="2313" width="4.898438" style="129" customWidth="1"/>
    <x:col min="2314" max="2314" width="5.199219" style="129" customWidth="1"/>
    <x:col min="2315" max="2324" width="3.097656" style="129" customWidth="1"/>
    <x:col min="2325" max="2325" width="3.5" style="129" customWidth="1"/>
    <x:col min="2326" max="2327" width="3.097656" style="129" customWidth="1"/>
    <x:col min="2328" max="2328" width="3.898438" style="129" customWidth="1"/>
    <x:col min="2329" max="2560" width="9" style="129" customWidth="1"/>
    <x:col min="2561" max="2564" width="3.699219" style="129" customWidth="1"/>
    <x:col min="2565" max="2565" width="3" style="129" customWidth="1"/>
    <x:col min="2566" max="2566" width="4.898438" style="129" customWidth="1"/>
    <x:col min="2567" max="2567" width="5.898438" style="129" customWidth="1"/>
    <x:col min="2568" max="2568" width="2.097656" style="129" customWidth="1"/>
    <x:col min="2569" max="2569" width="4.898438" style="129" customWidth="1"/>
    <x:col min="2570" max="2570" width="5.199219" style="129" customWidth="1"/>
    <x:col min="2571" max="2580" width="3.097656" style="129" customWidth="1"/>
    <x:col min="2581" max="2581" width="3.5" style="129" customWidth="1"/>
    <x:col min="2582" max="2583" width="3.097656" style="129" customWidth="1"/>
    <x:col min="2584" max="2584" width="3.898438" style="129" customWidth="1"/>
    <x:col min="2585" max="2816" width="9" style="129" customWidth="1"/>
    <x:col min="2817" max="2820" width="3.699219" style="129" customWidth="1"/>
    <x:col min="2821" max="2821" width="3" style="129" customWidth="1"/>
    <x:col min="2822" max="2822" width="4.898438" style="129" customWidth="1"/>
    <x:col min="2823" max="2823" width="5.898438" style="129" customWidth="1"/>
    <x:col min="2824" max="2824" width="2.097656" style="129" customWidth="1"/>
    <x:col min="2825" max="2825" width="4.898438" style="129" customWidth="1"/>
    <x:col min="2826" max="2826" width="5.199219" style="129" customWidth="1"/>
    <x:col min="2827" max="2836" width="3.097656" style="129" customWidth="1"/>
    <x:col min="2837" max="2837" width="3.5" style="129" customWidth="1"/>
    <x:col min="2838" max="2839" width="3.097656" style="129" customWidth="1"/>
    <x:col min="2840" max="2840" width="3.898438" style="129" customWidth="1"/>
    <x:col min="2841" max="3072" width="9" style="129" customWidth="1"/>
    <x:col min="3073" max="3076" width="3.699219" style="129" customWidth="1"/>
    <x:col min="3077" max="3077" width="3" style="129" customWidth="1"/>
    <x:col min="3078" max="3078" width="4.898438" style="129" customWidth="1"/>
    <x:col min="3079" max="3079" width="5.898438" style="129" customWidth="1"/>
    <x:col min="3080" max="3080" width="2.097656" style="129" customWidth="1"/>
    <x:col min="3081" max="3081" width="4.898438" style="129" customWidth="1"/>
    <x:col min="3082" max="3082" width="5.199219" style="129" customWidth="1"/>
    <x:col min="3083" max="3092" width="3.097656" style="129" customWidth="1"/>
    <x:col min="3093" max="3093" width="3.5" style="129" customWidth="1"/>
    <x:col min="3094" max="3095" width="3.097656" style="129" customWidth="1"/>
    <x:col min="3096" max="3096" width="3.898438" style="129" customWidth="1"/>
    <x:col min="3097" max="3328" width="9" style="129" customWidth="1"/>
    <x:col min="3329" max="3332" width="3.699219" style="129" customWidth="1"/>
    <x:col min="3333" max="3333" width="3" style="129" customWidth="1"/>
    <x:col min="3334" max="3334" width="4.898438" style="129" customWidth="1"/>
    <x:col min="3335" max="3335" width="5.898438" style="129" customWidth="1"/>
    <x:col min="3336" max="3336" width="2.097656" style="129" customWidth="1"/>
    <x:col min="3337" max="3337" width="4.898438" style="129" customWidth="1"/>
    <x:col min="3338" max="3338" width="5.199219" style="129" customWidth="1"/>
    <x:col min="3339" max="3348" width="3.097656" style="129" customWidth="1"/>
    <x:col min="3349" max="3349" width="3.5" style="129" customWidth="1"/>
    <x:col min="3350" max="3351" width="3.097656" style="129" customWidth="1"/>
    <x:col min="3352" max="3352" width="3.898438" style="129" customWidth="1"/>
    <x:col min="3353" max="3584" width="9" style="129" customWidth="1"/>
    <x:col min="3585" max="3588" width="3.699219" style="129" customWidth="1"/>
    <x:col min="3589" max="3589" width="3" style="129" customWidth="1"/>
    <x:col min="3590" max="3590" width="4.898438" style="129" customWidth="1"/>
    <x:col min="3591" max="3591" width="5.898438" style="129" customWidth="1"/>
    <x:col min="3592" max="3592" width="2.097656" style="129" customWidth="1"/>
    <x:col min="3593" max="3593" width="4.898438" style="129" customWidth="1"/>
    <x:col min="3594" max="3594" width="5.199219" style="129" customWidth="1"/>
    <x:col min="3595" max="3604" width="3.097656" style="129" customWidth="1"/>
    <x:col min="3605" max="3605" width="3.5" style="129" customWidth="1"/>
    <x:col min="3606" max="3607" width="3.097656" style="129" customWidth="1"/>
    <x:col min="3608" max="3608" width="3.898438" style="129" customWidth="1"/>
    <x:col min="3609" max="3840" width="9" style="129" customWidth="1"/>
    <x:col min="3841" max="3844" width="3.699219" style="129" customWidth="1"/>
    <x:col min="3845" max="3845" width="3" style="129" customWidth="1"/>
    <x:col min="3846" max="3846" width="4.898438" style="129" customWidth="1"/>
    <x:col min="3847" max="3847" width="5.898438" style="129" customWidth="1"/>
    <x:col min="3848" max="3848" width="2.097656" style="129" customWidth="1"/>
    <x:col min="3849" max="3849" width="4.898438" style="129" customWidth="1"/>
    <x:col min="3850" max="3850" width="5.199219" style="129" customWidth="1"/>
    <x:col min="3851" max="3860" width="3.097656" style="129" customWidth="1"/>
    <x:col min="3861" max="3861" width="3.5" style="129" customWidth="1"/>
    <x:col min="3862" max="3863" width="3.097656" style="129" customWidth="1"/>
    <x:col min="3864" max="3864" width="3.898438" style="129" customWidth="1"/>
    <x:col min="3865" max="4096" width="9" style="129" customWidth="1"/>
    <x:col min="4097" max="4100" width="3.699219" style="129" customWidth="1"/>
    <x:col min="4101" max="4101" width="3" style="129" customWidth="1"/>
    <x:col min="4102" max="4102" width="4.898438" style="129" customWidth="1"/>
    <x:col min="4103" max="4103" width="5.898438" style="129" customWidth="1"/>
    <x:col min="4104" max="4104" width="2.097656" style="129" customWidth="1"/>
    <x:col min="4105" max="4105" width="4.898438" style="129" customWidth="1"/>
    <x:col min="4106" max="4106" width="5.199219" style="129" customWidth="1"/>
    <x:col min="4107" max="4116" width="3.097656" style="129" customWidth="1"/>
    <x:col min="4117" max="4117" width="3.5" style="129" customWidth="1"/>
    <x:col min="4118" max="4119" width="3.097656" style="129" customWidth="1"/>
    <x:col min="4120" max="4120" width="3.898438" style="129" customWidth="1"/>
    <x:col min="4121" max="4352" width="9" style="129" customWidth="1"/>
    <x:col min="4353" max="4356" width="3.699219" style="129" customWidth="1"/>
    <x:col min="4357" max="4357" width="3" style="129" customWidth="1"/>
    <x:col min="4358" max="4358" width="4.898438" style="129" customWidth="1"/>
    <x:col min="4359" max="4359" width="5.898438" style="129" customWidth="1"/>
    <x:col min="4360" max="4360" width="2.097656" style="129" customWidth="1"/>
    <x:col min="4361" max="4361" width="4.898438" style="129" customWidth="1"/>
    <x:col min="4362" max="4362" width="5.199219" style="129" customWidth="1"/>
    <x:col min="4363" max="4372" width="3.097656" style="129" customWidth="1"/>
    <x:col min="4373" max="4373" width="3.5" style="129" customWidth="1"/>
    <x:col min="4374" max="4375" width="3.097656" style="129" customWidth="1"/>
    <x:col min="4376" max="4376" width="3.898438" style="129" customWidth="1"/>
    <x:col min="4377" max="4608" width="9" style="129" customWidth="1"/>
    <x:col min="4609" max="4612" width="3.699219" style="129" customWidth="1"/>
    <x:col min="4613" max="4613" width="3" style="129" customWidth="1"/>
    <x:col min="4614" max="4614" width="4.898438" style="129" customWidth="1"/>
    <x:col min="4615" max="4615" width="5.898438" style="129" customWidth="1"/>
    <x:col min="4616" max="4616" width="2.097656" style="129" customWidth="1"/>
    <x:col min="4617" max="4617" width="4.898438" style="129" customWidth="1"/>
    <x:col min="4618" max="4618" width="5.199219" style="129" customWidth="1"/>
    <x:col min="4619" max="4628" width="3.097656" style="129" customWidth="1"/>
    <x:col min="4629" max="4629" width="3.5" style="129" customWidth="1"/>
    <x:col min="4630" max="4631" width="3.097656" style="129" customWidth="1"/>
    <x:col min="4632" max="4632" width="3.898438" style="129" customWidth="1"/>
    <x:col min="4633" max="4864" width="9" style="129" customWidth="1"/>
    <x:col min="4865" max="4868" width="3.699219" style="129" customWidth="1"/>
    <x:col min="4869" max="4869" width="3" style="129" customWidth="1"/>
    <x:col min="4870" max="4870" width="4.898438" style="129" customWidth="1"/>
    <x:col min="4871" max="4871" width="5.898438" style="129" customWidth="1"/>
    <x:col min="4872" max="4872" width="2.097656" style="129" customWidth="1"/>
    <x:col min="4873" max="4873" width="4.898438" style="129" customWidth="1"/>
    <x:col min="4874" max="4874" width="5.199219" style="129" customWidth="1"/>
    <x:col min="4875" max="4884" width="3.097656" style="129" customWidth="1"/>
    <x:col min="4885" max="4885" width="3.5" style="129" customWidth="1"/>
    <x:col min="4886" max="4887" width="3.097656" style="129" customWidth="1"/>
    <x:col min="4888" max="4888" width="3.898438" style="129" customWidth="1"/>
    <x:col min="4889" max="5120" width="9" style="129" customWidth="1"/>
    <x:col min="5121" max="5124" width="3.699219" style="129" customWidth="1"/>
    <x:col min="5125" max="5125" width="3" style="129" customWidth="1"/>
    <x:col min="5126" max="5126" width="4.898438" style="129" customWidth="1"/>
    <x:col min="5127" max="5127" width="5.898438" style="129" customWidth="1"/>
    <x:col min="5128" max="5128" width="2.097656" style="129" customWidth="1"/>
    <x:col min="5129" max="5129" width="4.898438" style="129" customWidth="1"/>
    <x:col min="5130" max="5130" width="5.199219" style="129" customWidth="1"/>
    <x:col min="5131" max="5140" width="3.097656" style="129" customWidth="1"/>
    <x:col min="5141" max="5141" width="3.5" style="129" customWidth="1"/>
    <x:col min="5142" max="5143" width="3.097656" style="129" customWidth="1"/>
    <x:col min="5144" max="5144" width="3.898438" style="129" customWidth="1"/>
    <x:col min="5145" max="5376" width="9" style="129" customWidth="1"/>
    <x:col min="5377" max="5380" width="3.699219" style="129" customWidth="1"/>
    <x:col min="5381" max="5381" width="3" style="129" customWidth="1"/>
    <x:col min="5382" max="5382" width="4.898438" style="129" customWidth="1"/>
    <x:col min="5383" max="5383" width="5.898438" style="129" customWidth="1"/>
    <x:col min="5384" max="5384" width="2.097656" style="129" customWidth="1"/>
    <x:col min="5385" max="5385" width="4.898438" style="129" customWidth="1"/>
    <x:col min="5386" max="5386" width="5.199219" style="129" customWidth="1"/>
    <x:col min="5387" max="5396" width="3.097656" style="129" customWidth="1"/>
    <x:col min="5397" max="5397" width="3.5" style="129" customWidth="1"/>
    <x:col min="5398" max="5399" width="3.097656" style="129" customWidth="1"/>
    <x:col min="5400" max="5400" width="3.898438" style="129" customWidth="1"/>
    <x:col min="5401" max="5632" width="9" style="129" customWidth="1"/>
    <x:col min="5633" max="5636" width="3.699219" style="129" customWidth="1"/>
    <x:col min="5637" max="5637" width="3" style="129" customWidth="1"/>
    <x:col min="5638" max="5638" width="4.898438" style="129" customWidth="1"/>
    <x:col min="5639" max="5639" width="5.898438" style="129" customWidth="1"/>
    <x:col min="5640" max="5640" width="2.097656" style="129" customWidth="1"/>
    <x:col min="5641" max="5641" width="4.898438" style="129" customWidth="1"/>
    <x:col min="5642" max="5642" width="5.199219" style="129" customWidth="1"/>
    <x:col min="5643" max="5652" width="3.097656" style="129" customWidth="1"/>
    <x:col min="5653" max="5653" width="3.5" style="129" customWidth="1"/>
    <x:col min="5654" max="5655" width="3.097656" style="129" customWidth="1"/>
    <x:col min="5656" max="5656" width="3.898438" style="129" customWidth="1"/>
    <x:col min="5657" max="5888" width="9" style="129" customWidth="1"/>
    <x:col min="5889" max="5892" width="3.699219" style="129" customWidth="1"/>
    <x:col min="5893" max="5893" width="3" style="129" customWidth="1"/>
    <x:col min="5894" max="5894" width="4.898438" style="129" customWidth="1"/>
    <x:col min="5895" max="5895" width="5.898438" style="129" customWidth="1"/>
    <x:col min="5896" max="5896" width="2.097656" style="129" customWidth="1"/>
    <x:col min="5897" max="5897" width="4.898438" style="129" customWidth="1"/>
    <x:col min="5898" max="5898" width="5.199219" style="129" customWidth="1"/>
    <x:col min="5899" max="5908" width="3.097656" style="129" customWidth="1"/>
    <x:col min="5909" max="5909" width="3.5" style="129" customWidth="1"/>
    <x:col min="5910" max="5911" width="3.097656" style="129" customWidth="1"/>
    <x:col min="5912" max="5912" width="3.898438" style="129" customWidth="1"/>
    <x:col min="5913" max="6144" width="9" style="129" customWidth="1"/>
    <x:col min="6145" max="6148" width="3.699219" style="129" customWidth="1"/>
    <x:col min="6149" max="6149" width="3" style="129" customWidth="1"/>
    <x:col min="6150" max="6150" width="4.898438" style="129" customWidth="1"/>
    <x:col min="6151" max="6151" width="5.898438" style="129" customWidth="1"/>
    <x:col min="6152" max="6152" width="2.097656" style="129" customWidth="1"/>
    <x:col min="6153" max="6153" width="4.898438" style="129" customWidth="1"/>
    <x:col min="6154" max="6154" width="5.199219" style="129" customWidth="1"/>
    <x:col min="6155" max="6164" width="3.097656" style="129" customWidth="1"/>
    <x:col min="6165" max="6165" width="3.5" style="129" customWidth="1"/>
    <x:col min="6166" max="6167" width="3.097656" style="129" customWidth="1"/>
    <x:col min="6168" max="6168" width="3.898438" style="129" customWidth="1"/>
    <x:col min="6169" max="6400" width="9" style="129" customWidth="1"/>
    <x:col min="6401" max="6404" width="3.699219" style="129" customWidth="1"/>
    <x:col min="6405" max="6405" width="3" style="129" customWidth="1"/>
    <x:col min="6406" max="6406" width="4.898438" style="129" customWidth="1"/>
    <x:col min="6407" max="6407" width="5.898438" style="129" customWidth="1"/>
    <x:col min="6408" max="6408" width="2.097656" style="129" customWidth="1"/>
    <x:col min="6409" max="6409" width="4.898438" style="129" customWidth="1"/>
    <x:col min="6410" max="6410" width="5.199219" style="129" customWidth="1"/>
    <x:col min="6411" max="6420" width="3.097656" style="129" customWidth="1"/>
    <x:col min="6421" max="6421" width="3.5" style="129" customWidth="1"/>
    <x:col min="6422" max="6423" width="3.097656" style="129" customWidth="1"/>
    <x:col min="6424" max="6424" width="3.898438" style="129" customWidth="1"/>
    <x:col min="6425" max="6656" width="9" style="129" customWidth="1"/>
    <x:col min="6657" max="6660" width="3.699219" style="129" customWidth="1"/>
    <x:col min="6661" max="6661" width="3" style="129" customWidth="1"/>
    <x:col min="6662" max="6662" width="4.898438" style="129" customWidth="1"/>
    <x:col min="6663" max="6663" width="5.898438" style="129" customWidth="1"/>
    <x:col min="6664" max="6664" width="2.097656" style="129" customWidth="1"/>
    <x:col min="6665" max="6665" width="4.898438" style="129" customWidth="1"/>
    <x:col min="6666" max="6666" width="5.199219" style="129" customWidth="1"/>
    <x:col min="6667" max="6676" width="3.097656" style="129" customWidth="1"/>
    <x:col min="6677" max="6677" width="3.5" style="129" customWidth="1"/>
    <x:col min="6678" max="6679" width="3.097656" style="129" customWidth="1"/>
    <x:col min="6680" max="6680" width="3.898438" style="129" customWidth="1"/>
    <x:col min="6681" max="6912" width="9" style="129" customWidth="1"/>
    <x:col min="6913" max="6916" width="3.699219" style="129" customWidth="1"/>
    <x:col min="6917" max="6917" width="3" style="129" customWidth="1"/>
    <x:col min="6918" max="6918" width="4.898438" style="129" customWidth="1"/>
    <x:col min="6919" max="6919" width="5.898438" style="129" customWidth="1"/>
    <x:col min="6920" max="6920" width="2.097656" style="129" customWidth="1"/>
    <x:col min="6921" max="6921" width="4.898438" style="129" customWidth="1"/>
    <x:col min="6922" max="6922" width="5.199219" style="129" customWidth="1"/>
    <x:col min="6923" max="6932" width="3.097656" style="129" customWidth="1"/>
    <x:col min="6933" max="6933" width="3.5" style="129" customWidth="1"/>
    <x:col min="6934" max="6935" width="3.097656" style="129" customWidth="1"/>
    <x:col min="6936" max="6936" width="3.898438" style="129" customWidth="1"/>
    <x:col min="6937" max="7168" width="9" style="129" customWidth="1"/>
    <x:col min="7169" max="7172" width="3.699219" style="129" customWidth="1"/>
    <x:col min="7173" max="7173" width="3" style="129" customWidth="1"/>
    <x:col min="7174" max="7174" width="4.898438" style="129" customWidth="1"/>
    <x:col min="7175" max="7175" width="5.898438" style="129" customWidth="1"/>
    <x:col min="7176" max="7176" width="2.097656" style="129" customWidth="1"/>
    <x:col min="7177" max="7177" width="4.898438" style="129" customWidth="1"/>
    <x:col min="7178" max="7178" width="5.199219" style="129" customWidth="1"/>
    <x:col min="7179" max="7188" width="3.097656" style="129" customWidth="1"/>
    <x:col min="7189" max="7189" width="3.5" style="129" customWidth="1"/>
    <x:col min="7190" max="7191" width="3.097656" style="129" customWidth="1"/>
    <x:col min="7192" max="7192" width="3.898438" style="129" customWidth="1"/>
    <x:col min="7193" max="7424" width="9" style="129" customWidth="1"/>
    <x:col min="7425" max="7428" width="3.699219" style="129" customWidth="1"/>
    <x:col min="7429" max="7429" width="3" style="129" customWidth="1"/>
    <x:col min="7430" max="7430" width="4.898438" style="129" customWidth="1"/>
    <x:col min="7431" max="7431" width="5.898438" style="129" customWidth="1"/>
    <x:col min="7432" max="7432" width="2.097656" style="129" customWidth="1"/>
    <x:col min="7433" max="7433" width="4.898438" style="129" customWidth="1"/>
    <x:col min="7434" max="7434" width="5.199219" style="129" customWidth="1"/>
    <x:col min="7435" max="7444" width="3.097656" style="129" customWidth="1"/>
    <x:col min="7445" max="7445" width="3.5" style="129" customWidth="1"/>
    <x:col min="7446" max="7447" width="3.097656" style="129" customWidth="1"/>
    <x:col min="7448" max="7448" width="3.898438" style="129" customWidth="1"/>
    <x:col min="7449" max="7680" width="9" style="129" customWidth="1"/>
    <x:col min="7681" max="7684" width="3.699219" style="129" customWidth="1"/>
    <x:col min="7685" max="7685" width="3" style="129" customWidth="1"/>
    <x:col min="7686" max="7686" width="4.898438" style="129" customWidth="1"/>
    <x:col min="7687" max="7687" width="5.898438" style="129" customWidth="1"/>
    <x:col min="7688" max="7688" width="2.097656" style="129" customWidth="1"/>
    <x:col min="7689" max="7689" width="4.898438" style="129" customWidth="1"/>
    <x:col min="7690" max="7690" width="5.199219" style="129" customWidth="1"/>
    <x:col min="7691" max="7700" width="3.097656" style="129" customWidth="1"/>
    <x:col min="7701" max="7701" width="3.5" style="129" customWidth="1"/>
    <x:col min="7702" max="7703" width="3.097656" style="129" customWidth="1"/>
    <x:col min="7704" max="7704" width="3.898438" style="129" customWidth="1"/>
    <x:col min="7705" max="7936" width="9" style="129" customWidth="1"/>
    <x:col min="7937" max="7940" width="3.699219" style="129" customWidth="1"/>
    <x:col min="7941" max="7941" width="3" style="129" customWidth="1"/>
    <x:col min="7942" max="7942" width="4.898438" style="129" customWidth="1"/>
    <x:col min="7943" max="7943" width="5.898438" style="129" customWidth="1"/>
    <x:col min="7944" max="7944" width="2.097656" style="129" customWidth="1"/>
    <x:col min="7945" max="7945" width="4.898438" style="129" customWidth="1"/>
    <x:col min="7946" max="7946" width="5.199219" style="129" customWidth="1"/>
    <x:col min="7947" max="7956" width="3.097656" style="129" customWidth="1"/>
    <x:col min="7957" max="7957" width="3.5" style="129" customWidth="1"/>
    <x:col min="7958" max="7959" width="3.097656" style="129" customWidth="1"/>
    <x:col min="7960" max="7960" width="3.898438" style="129" customWidth="1"/>
    <x:col min="7961" max="8192" width="9" style="129" customWidth="1"/>
    <x:col min="8193" max="8196" width="3.699219" style="129" customWidth="1"/>
    <x:col min="8197" max="8197" width="3" style="129" customWidth="1"/>
    <x:col min="8198" max="8198" width="4.898438" style="129" customWidth="1"/>
    <x:col min="8199" max="8199" width="5.898438" style="129" customWidth="1"/>
    <x:col min="8200" max="8200" width="2.097656" style="129" customWidth="1"/>
    <x:col min="8201" max="8201" width="4.898438" style="129" customWidth="1"/>
    <x:col min="8202" max="8202" width="5.199219" style="129" customWidth="1"/>
    <x:col min="8203" max="8212" width="3.097656" style="129" customWidth="1"/>
    <x:col min="8213" max="8213" width="3.5" style="129" customWidth="1"/>
    <x:col min="8214" max="8215" width="3.097656" style="129" customWidth="1"/>
    <x:col min="8216" max="8216" width="3.898438" style="129" customWidth="1"/>
    <x:col min="8217" max="8448" width="9" style="129" customWidth="1"/>
    <x:col min="8449" max="8452" width="3.699219" style="129" customWidth="1"/>
    <x:col min="8453" max="8453" width="3" style="129" customWidth="1"/>
    <x:col min="8454" max="8454" width="4.898438" style="129" customWidth="1"/>
    <x:col min="8455" max="8455" width="5.898438" style="129" customWidth="1"/>
    <x:col min="8456" max="8456" width="2.097656" style="129" customWidth="1"/>
    <x:col min="8457" max="8457" width="4.898438" style="129" customWidth="1"/>
    <x:col min="8458" max="8458" width="5.199219" style="129" customWidth="1"/>
    <x:col min="8459" max="8468" width="3.097656" style="129" customWidth="1"/>
    <x:col min="8469" max="8469" width="3.5" style="129" customWidth="1"/>
    <x:col min="8470" max="8471" width="3.097656" style="129" customWidth="1"/>
    <x:col min="8472" max="8472" width="3.898438" style="129" customWidth="1"/>
    <x:col min="8473" max="8704" width="9" style="129" customWidth="1"/>
    <x:col min="8705" max="8708" width="3.699219" style="129" customWidth="1"/>
    <x:col min="8709" max="8709" width="3" style="129" customWidth="1"/>
    <x:col min="8710" max="8710" width="4.898438" style="129" customWidth="1"/>
    <x:col min="8711" max="8711" width="5.898438" style="129" customWidth="1"/>
    <x:col min="8712" max="8712" width="2.097656" style="129" customWidth="1"/>
    <x:col min="8713" max="8713" width="4.898438" style="129" customWidth="1"/>
    <x:col min="8714" max="8714" width="5.199219" style="129" customWidth="1"/>
    <x:col min="8715" max="8724" width="3.097656" style="129" customWidth="1"/>
    <x:col min="8725" max="8725" width="3.5" style="129" customWidth="1"/>
    <x:col min="8726" max="8727" width="3.097656" style="129" customWidth="1"/>
    <x:col min="8728" max="8728" width="3.898438" style="129" customWidth="1"/>
    <x:col min="8729" max="8960" width="9" style="129" customWidth="1"/>
    <x:col min="8961" max="8964" width="3.699219" style="129" customWidth="1"/>
    <x:col min="8965" max="8965" width="3" style="129" customWidth="1"/>
    <x:col min="8966" max="8966" width="4.898438" style="129" customWidth="1"/>
    <x:col min="8967" max="8967" width="5.898438" style="129" customWidth="1"/>
    <x:col min="8968" max="8968" width="2.097656" style="129" customWidth="1"/>
    <x:col min="8969" max="8969" width="4.898438" style="129" customWidth="1"/>
    <x:col min="8970" max="8970" width="5.199219" style="129" customWidth="1"/>
    <x:col min="8971" max="8980" width="3.097656" style="129" customWidth="1"/>
    <x:col min="8981" max="8981" width="3.5" style="129" customWidth="1"/>
    <x:col min="8982" max="8983" width="3.097656" style="129" customWidth="1"/>
    <x:col min="8984" max="8984" width="3.898438" style="129" customWidth="1"/>
    <x:col min="8985" max="9216" width="9" style="129" customWidth="1"/>
    <x:col min="9217" max="9220" width="3.699219" style="129" customWidth="1"/>
    <x:col min="9221" max="9221" width="3" style="129" customWidth="1"/>
    <x:col min="9222" max="9222" width="4.898438" style="129" customWidth="1"/>
    <x:col min="9223" max="9223" width="5.898438" style="129" customWidth="1"/>
    <x:col min="9224" max="9224" width="2.097656" style="129" customWidth="1"/>
    <x:col min="9225" max="9225" width="4.898438" style="129" customWidth="1"/>
    <x:col min="9226" max="9226" width="5.199219" style="129" customWidth="1"/>
    <x:col min="9227" max="9236" width="3.097656" style="129" customWidth="1"/>
    <x:col min="9237" max="9237" width="3.5" style="129" customWidth="1"/>
    <x:col min="9238" max="9239" width="3.097656" style="129" customWidth="1"/>
    <x:col min="9240" max="9240" width="3.898438" style="129" customWidth="1"/>
    <x:col min="9241" max="9472" width="9" style="129" customWidth="1"/>
    <x:col min="9473" max="9476" width="3.699219" style="129" customWidth="1"/>
    <x:col min="9477" max="9477" width="3" style="129" customWidth="1"/>
    <x:col min="9478" max="9478" width="4.898438" style="129" customWidth="1"/>
    <x:col min="9479" max="9479" width="5.898438" style="129" customWidth="1"/>
    <x:col min="9480" max="9480" width="2.097656" style="129" customWidth="1"/>
    <x:col min="9481" max="9481" width="4.898438" style="129" customWidth="1"/>
    <x:col min="9482" max="9482" width="5.199219" style="129" customWidth="1"/>
    <x:col min="9483" max="9492" width="3.097656" style="129" customWidth="1"/>
    <x:col min="9493" max="9493" width="3.5" style="129" customWidth="1"/>
    <x:col min="9494" max="9495" width="3.097656" style="129" customWidth="1"/>
    <x:col min="9496" max="9496" width="3.898438" style="129" customWidth="1"/>
    <x:col min="9497" max="9728" width="9" style="129" customWidth="1"/>
    <x:col min="9729" max="9732" width="3.699219" style="129" customWidth="1"/>
    <x:col min="9733" max="9733" width="3" style="129" customWidth="1"/>
    <x:col min="9734" max="9734" width="4.898438" style="129" customWidth="1"/>
    <x:col min="9735" max="9735" width="5.898438" style="129" customWidth="1"/>
    <x:col min="9736" max="9736" width="2.097656" style="129" customWidth="1"/>
    <x:col min="9737" max="9737" width="4.898438" style="129" customWidth="1"/>
    <x:col min="9738" max="9738" width="5.199219" style="129" customWidth="1"/>
    <x:col min="9739" max="9748" width="3.097656" style="129" customWidth="1"/>
    <x:col min="9749" max="9749" width="3.5" style="129" customWidth="1"/>
    <x:col min="9750" max="9751" width="3.097656" style="129" customWidth="1"/>
    <x:col min="9752" max="9752" width="3.898438" style="129" customWidth="1"/>
    <x:col min="9753" max="9984" width="9" style="129" customWidth="1"/>
    <x:col min="9985" max="9988" width="3.699219" style="129" customWidth="1"/>
    <x:col min="9989" max="9989" width="3" style="129" customWidth="1"/>
    <x:col min="9990" max="9990" width="4.898438" style="129" customWidth="1"/>
    <x:col min="9991" max="9991" width="5.898438" style="129" customWidth="1"/>
    <x:col min="9992" max="9992" width="2.097656" style="129" customWidth="1"/>
    <x:col min="9993" max="9993" width="4.898438" style="129" customWidth="1"/>
    <x:col min="9994" max="9994" width="5.199219" style="129" customWidth="1"/>
    <x:col min="9995" max="10004" width="3.097656" style="129" customWidth="1"/>
    <x:col min="10005" max="10005" width="3.5" style="129" customWidth="1"/>
    <x:col min="10006" max="10007" width="3.097656" style="129" customWidth="1"/>
    <x:col min="10008" max="10008" width="3.898438" style="129" customWidth="1"/>
    <x:col min="10009" max="10240" width="9" style="129" customWidth="1"/>
    <x:col min="10241" max="10244" width="3.699219" style="129" customWidth="1"/>
    <x:col min="10245" max="10245" width="3" style="129" customWidth="1"/>
    <x:col min="10246" max="10246" width="4.898438" style="129" customWidth="1"/>
    <x:col min="10247" max="10247" width="5.898438" style="129" customWidth="1"/>
    <x:col min="10248" max="10248" width="2.097656" style="129" customWidth="1"/>
    <x:col min="10249" max="10249" width="4.898438" style="129" customWidth="1"/>
    <x:col min="10250" max="10250" width="5.199219" style="129" customWidth="1"/>
    <x:col min="10251" max="10260" width="3.097656" style="129" customWidth="1"/>
    <x:col min="10261" max="10261" width="3.5" style="129" customWidth="1"/>
    <x:col min="10262" max="10263" width="3.097656" style="129" customWidth="1"/>
    <x:col min="10264" max="10264" width="3.898438" style="129" customWidth="1"/>
    <x:col min="10265" max="10496" width="9" style="129" customWidth="1"/>
    <x:col min="10497" max="10500" width="3.699219" style="129" customWidth="1"/>
    <x:col min="10501" max="10501" width="3" style="129" customWidth="1"/>
    <x:col min="10502" max="10502" width="4.898438" style="129" customWidth="1"/>
    <x:col min="10503" max="10503" width="5.898438" style="129" customWidth="1"/>
    <x:col min="10504" max="10504" width="2.097656" style="129" customWidth="1"/>
    <x:col min="10505" max="10505" width="4.898438" style="129" customWidth="1"/>
    <x:col min="10506" max="10506" width="5.199219" style="129" customWidth="1"/>
    <x:col min="10507" max="10516" width="3.097656" style="129" customWidth="1"/>
    <x:col min="10517" max="10517" width="3.5" style="129" customWidth="1"/>
    <x:col min="10518" max="10519" width="3.097656" style="129" customWidth="1"/>
    <x:col min="10520" max="10520" width="3.898438" style="129" customWidth="1"/>
    <x:col min="10521" max="10752" width="9" style="129" customWidth="1"/>
    <x:col min="10753" max="10756" width="3.699219" style="129" customWidth="1"/>
    <x:col min="10757" max="10757" width="3" style="129" customWidth="1"/>
    <x:col min="10758" max="10758" width="4.898438" style="129" customWidth="1"/>
    <x:col min="10759" max="10759" width="5.898438" style="129" customWidth="1"/>
    <x:col min="10760" max="10760" width="2.097656" style="129" customWidth="1"/>
    <x:col min="10761" max="10761" width="4.898438" style="129" customWidth="1"/>
    <x:col min="10762" max="10762" width="5.199219" style="129" customWidth="1"/>
    <x:col min="10763" max="10772" width="3.097656" style="129" customWidth="1"/>
    <x:col min="10773" max="10773" width="3.5" style="129" customWidth="1"/>
    <x:col min="10774" max="10775" width="3.097656" style="129" customWidth="1"/>
    <x:col min="10776" max="10776" width="3.898438" style="129" customWidth="1"/>
    <x:col min="10777" max="11008" width="9" style="129" customWidth="1"/>
    <x:col min="11009" max="11012" width="3.699219" style="129" customWidth="1"/>
    <x:col min="11013" max="11013" width="3" style="129" customWidth="1"/>
    <x:col min="11014" max="11014" width="4.898438" style="129" customWidth="1"/>
    <x:col min="11015" max="11015" width="5.898438" style="129" customWidth="1"/>
    <x:col min="11016" max="11016" width="2.097656" style="129" customWidth="1"/>
    <x:col min="11017" max="11017" width="4.898438" style="129" customWidth="1"/>
    <x:col min="11018" max="11018" width="5.199219" style="129" customWidth="1"/>
    <x:col min="11019" max="11028" width="3.097656" style="129" customWidth="1"/>
    <x:col min="11029" max="11029" width="3.5" style="129" customWidth="1"/>
    <x:col min="11030" max="11031" width="3.097656" style="129" customWidth="1"/>
    <x:col min="11032" max="11032" width="3.898438" style="129" customWidth="1"/>
    <x:col min="11033" max="11264" width="9" style="129" customWidth="1"/>
    <x:col min="11265" max="11268" width="3.699219" style="129" customWidth="1"/>
    <x:col min="11269" max="11269" width="3" style="129" customWidth="1"/>
    <x:col min="11270" max="11270" width="4.898438" style="129" customWidth="1"/>
    <x:col min="11271" max="11271" width="5.898438" style="129" customWidth="1"/>
    <x:col min="11272" max="11272" width="2.097656" style="129" customWidth="1"/>
    <x:col min="11273" max="11273" width="4.898438" style="129" customWidth="1"/>
    <x:col min="11274" max="11274" width="5.199219" style="129" customWidth="1"/>
    <x:col min="11275" max="11284" width="3.097656" style="129" customWidth="1"/>
    <x:col min="11285" max="11285" width="3.5" style="129" customWidth="1"/>
    <x:col min="11286" max="11287" width="3.097656" style="129" customWidth="1"/>
    <x:col min="11288" max="11288" width="3.898438" style="129" customWidth="1"/>
    <x:col min="11289" max="11520" width="9" style="129" customWidth="1"/>
    <x:col min="11521" max="11524" width="3.699219" style="129" customWidth="1"/>
    <x:col min="11525" max="11525" width="3" style="129" customWidth="1"/>
    <x:col min="11526" max="11526" width="4.898438" style="129" customWidth="1"/>
    <x:col min="11527" max="11527" width="5.898438" style="129" customWidth="1"/>
    <x:col min="11528" max="11528" width="2.097656" style="129" customWidth="1"/>
    <x:col min="11529" max="11529" width="4.898438" style="129" customWidth="1"/>
    <x:col min="11530" max="11530" width="5.199219" style="129" customWidth="1"/>
    <x:col min="11531" max="11540" width="3.097656" style="129" customWidth="1"/>
    <x:col min="11541" max="11541" width="3.5" style="129" customWidth="1"/>
    <x:col min="11542" max="11543" width="3.097656" style="129" customWidth="1"/>
    <x:col min="11544" max="11544" width="3.898438" style="129" customWidth="1"/>
    <x:col min="11545" max="11776" width="9" style="129" customWidth="1"/>
    <x:col min="11777" max="11780" width="3.699219" style="129" customWidth="1"/>
    <x:col min="11781" max="11781" width="3" style="129" customWidth="1"/>
    <x:col min="11782" max="11782" width="4.898438" style="129" customWidth="1"/>
    <x:col min="11783" max="11783" width="5.898438" style="129" customWidth="1"/>
    <x:col min="11784" max="11784" width="2.097656" style="129" customWidth="1"/>
    <x:col min="11785" max="11785" width="4.898438" style="129" customWidth="1"/>
    <x:col min="11786" max="11786" width="5.199219" style="129" customWidth="1"/>
    <x:col min="11787" max="11796" width="3.097656" style="129" customWidth="1"/>
    <x:col min="11797" max="11797" width="3.5" style="129" customWidth="1"/>
    <x:col min="11798" max="11799" width="3.097656" style="129" customWidth="1"/>
    <x:col min="11800" max="11800" width="3.898438" style="129" customWidth="1"/>
    <x:col min="11801" max="12032" width="9" style="129" customWidth="1"/>
    <x:col min="12033" max="12036" width="3.699219" style="129" customWidth="1"/>
    <x:col min="12037" max="12037" width="3" style="129" customWidth="1"/>
    <x:col min="12038" max="12038" width="4.898438" style="129" customWidth="1"/>
    <x:col min="12039" max="12039" width="5.898438" style="129" customWidth="1"/>
    <x:col min="12040" max="12040" width="2.097656" style="129" customWidth="1"/>
    <x:col min="12041" max="12041" width="4.898438" style="129" customWidth="1"/>
    <x:col min="12042" max="12042" width="5.199219" style="129" customWidth="1"/>
    <x:col min="12043" max="12052" width="3.097656" style="129" customWidth="1"/>
    <x:col min="12053" max="12053" width="3.5" style="129" customWidth="1"/>
    <x:col min="12054" max="12055" width="3.097656" style="129" customWidth="1"/>
    <x:col min="12056" max="12056" width="3.898438" style="129" customWidth="1"/>
    <x:col min="12057" max="12288" width="9" style="129" customWidth="1"/>
    <x:col min="12289" max="12292" width="3.699219" style="129" customWidth="1"/>
    <x:col min="12293" max="12293" width="3" style="129" customWidth="1"/>
    <x:col min="12294" max="12294" width="4.898438" style="129" customWidth="1"/>
    <x:col min="12295" max="12295" width="5.898438" style="129" customWidth="1"/>
    <x:col min="12296" max="12296" width="2.097656" style="129" customWidth="1"/>
    <x:col min="12297" max="12297" width="4.898438" style="129" customWidth="1"/>
    <x:col min="12298" max="12298" width="5.199219" style="129" customWidth="1"/>
    <x:col min="12299" max="12308" width="3.097656" style="129" customWidth="1"/>
    <x:col min="12309" max="12309" width="3.5" style="129" customWidth="1"/>
    <x:col min="12310" max="12311" width="3.097656" style="129" customWidth="1"/>
    <x:col min="12312" max="12312" width="3.898438" style="129" customWidth="1"/>
    <x:col min="12313" max="12544" width="9" style="129" customWidth="1"/>
    <x:col min="12545" max="12548" width="3.699219" style="129" customWidth="1"/>
    <x:col min="12549" max="12549" width="3" style="129" customWidth="1"/>
    <x:col min="12550" max="12550" width="4.898438" style="129" customWidth="1"/>
    <x:col min="12551" max="12551" width="5.898438" style="129" customWidth="1"/>
    <x:col min="12552" max="12552" width="2.097656" style="129" customWidth="1"/>
    <x:col min="12553" max="12553" width="4.898438" style="129" customWidth="1"/>
    <x:col min="12554" max="12554" width="5.199219" style="129" customWidth="1"/>
    <x:col min="12555" max="12564" width="3.097656" style="129" customWidth="1"/>
    <x:col min="12565" max="12565" width="3.5" style="129" customWidth="1"/>
    <x:col min="12566" max="12567" width="3.097656" style="129" customWidth="1"/>
    <x:col min="12568" max="12568" width="3.898438" style="129" customWidth="1"/>
    <x:col min="12569" max="12800" width="9" style="129" customWidth="1"/>
    <x:col min="12801" max="12804" width="3.699219" style="129" customWidth="1"/>
    <x:col min="12805" max="12805" width="3" style="129" customWidth="1"/>
    <x:col min="12806" max="12806" width="4.898438" style="129" customWidth="1"/>
    <x:col min="12807" max="12807" width="5.898438" style="129" customWidth="1"/>
    <x:col min="12808" max="12808" width="2.097656" style="129" customWidth="1"/>
    <x:col min="12809" max="12809" width="4.898438" style="129" customWidth="1"/>
    <x:col min="12810" max="12810" width="5.199219" style="129" customWidth="1"/>
    <x:col min="12811" max="12820" width="3.097656" style="129" customWidth="1"/>
    <x:col min="12821" max="12821" width="3.5" style="129" customWidth="1"/>
    <x:col min="12822" max="12823" width="3.097656" style="129" customWidth="1"/>
    <x:col min="12824" max="12824" width="3.898438" style="129" customWidth="1"/>
    <x:col min="12825" max="13056" width="9" style="129" customWidth="1"/>
    <x:col min="13057" max="13060" width="3.699219" style="129" customWidth="1"/>
    <x:col min="13061" max="13061" width="3" style="129" customWidth="1"/>
    <x:col min="13062" max="13062" width="4.898438" style="129" customWidth="1"/>
    <x:col min="13063" max="13063" width="5.898438" style="129" customWidth="1"/>
    <x:col min="13064" max="13064" width="2.097656" style="129" customWidth="1"/>
    <x:col min="13065" max="13065" width="4.898438" style="129" customWidth="1"/>
    <x:col min="13066" max="13066" width="5.199219" style="129" customWidth="1"/>
    <x:col min="13067" max="13076" width="3.097656" style="129" customWidth="1"/>
    <x:col min="13077" max="13077" width="3.5" style="129" customWidth="1"/>
    <x:col min="13078" max="13079" width="3.097656" style="129" customWidth="1"/>
    <x:col min="13080" max="13080" width="3.898438" style="129" customWidth="1"/>
    <x:col min="13081" max="13312" width="9" style="129" customWidth="1"/>
    <x:col min="13313" max="13316" width="3.699219" style="129" customWidth="1"/>
    <x:col min="13317" max="13317" width="3" style="129" customWidth="1"/>
    <x:col min="13318" max="13318" width="4.898438" style="129" customWidth="1"/>
    <x:col min="13319" max="13319" width="5.898438" style="129" customWidth="1"/>
    <x:col min="13320" max="13320" width="2.097656" style="129" customWidth="1"/>
    <x:col min="13321" max="13321" width="4.898438" style="129" customWidth="1"/>
    <x:col min="13322" max="13322" width="5.199219" style="129" customWidth="1"/>
    <x:col min="13323" max="13332" width="3.097656" style="129" customWidth="1"/>
    <x:col min="13333" max="13333" width="3.5" style="129" customWidth="1"/>
    <x:col min="13334" max="13335" width="3.097656" style="129" customWidth="1"/>
    <x:col min="13336" max="13336" width="3.898438" style="129" customWidth="1"/>
    <x:col min="13337" max="13568" width="9" style="129" customWidth="1"/>
    <x:col min="13569" max="13572" width="3.699219" style="129" customWidth="1"/>
    <x:col min="13573" max="13573" width="3" style="129" customWidth="1"/>
    <x:col min="13574" max="13574" width="4.898438" style="129" customWidth="1"/>
    <x:col min="13575" max="13575" width="5.898438" style="129" customWidth="1"/>
    <x:col min="13576" max="13576" width="2.097656" style="129" customWidth="1"/>
    <x:col min="13577" max="13577" width="4.898438" style="129" customWidth="1"/>
    <x:col min="13578" max="13578" width="5.199219" style="129" customWidth="1"/>
    <x:col min="13579" max="13588" width="3.097656" style="129" customWidth="1"/>
    <x:col min="13589" max="13589" width="3.5" style="129" customWidth="1"/>
    <x:col min="13590" max="13591" width="3.097656" style="129" customWidth="1"/>
    <x:col min="13592" max="13592" width="3.898438" style="129" customWidth="1"/>
    <x:col min="13593" max="13824" width="9" style="129" customWidth="1"/>
    <x:col min="13825" max="13828" width="3.699219" style="129" customWidth="1"/>
    <x:col min="13829" max="13829" width="3" style="129" customWidth="1"/>
    <x:col min="13830" max="13830" width="4.898438" style="129" customWidth="1"/>
    <x:col min="13831" max="13831" width="5.898438" style="129" customWidth="1"/>
    <x:col min="13832" max="13832" width="2.097656" style="129" customWidth="1"/>
    <x:col min="13833" max="13833" width="4.898438" style="129" customWidth="1"/>
    <x:col min="13834" max="13834" width="5.199219" style="129" customWidth="1"/>
    <x:col min="13835" max="13844" width="3.097656" style="129" customWidth="1"/>
    <x:col min="13845" max="13845" width="3.5" style="129" customWidth="1"/>
    <x:col min="13846" max="13847" width="3.097656" style="129" customWidth="1"/>
    <x:col min="13848" max="13848" width="3.898438" style="129" customWidth="1"/>
    <x:col min="13849" max="14080" width="9" style="129" customWidth="1"/>
    <x:col min="14081" max="14084" width="3.699219" style="129" customWidth="1"/>
    <x:col min="14085" max="14085" width="3" style="129" customWidth="1"/>
    <x:col min="14086" max="14086" width="4.898438" style="129" customWidth="1"/>
    <x:col min="14087" max="14087" width="5.898438" style="129" customWidth="1"/>
    <x:col min="14088" max="14088" width="2.097656" style="129" customWidth="1"/>
    <x:col min="14089" max="14089" width="4.898438" style="129" customWidth="1"/>
    <x:col min="14090" max="14090" width="5.199219" style="129" customWidth="1"/>
    <x:col min="14091" max="14100" width="3.097656" style="129" customWidth="1"/>
    <x:col min="14101" max="14101" width="3.5" style="129" customWidth="1"/>
    <x:col min="14102" max="14103" width="3.097656" style="129" customWidth="1"/>
    <x:col min="14104" max="14104" width="3.898438" style="129" customWidth="1"/>
    <x:col min="14105" max="14336" width="9" style="129" customWidth="1"/>
    <x:col min="14337" max="14340" width="3.699219" style="129" customWidth="1"/>
    <x:col min="14341" max="14341" width="3" style="129" customWidth="1"/>
    <x:col min="14342" max="14342" width="4.898438" style="129" customWidth="1"/>
    <x:col min="14343" max="14343" width="5.898438" style="129" customWidth="1"/>
    <x:col min="14344" max="14344" width="2.097656" style="129" customWidth="1"/>
    <x:col min="14345" max="14345" width="4.898438" style="129" customWidth="1"/>
    <x:col min="14346" max="14346" width="5.199219" style="129" customWidth="1"/>
    <x:col min="14347" max="14356" width="3.097656" style="129" customWidth="1"/>
    <x:col min="14357" max="14357" width="3.5" style="129" customWidth="1"/>
    <x:col min="14358" max="14359" width="3.097656" style="129" customWidth="1"/>
    <x:col min="14360" max="14360" width="3.898438" style="129" customWidth="1"/>
    <x:col min="14361" max="14592" width="9" style="129" customWidth="1"/>
    <x:col min="14593" max="14596" width="3.699219" style="129" customWidth="1"/>
    <x:col min="14597" max="14597" width="3" style="129" customWidth="1"/>
    <x:col min="14598" max="14598" width="4.898438" style="129" customWidth="1"/>
    <x:col min="14599" max="14599" width="5.898438" style="129" customWidth="1"/>
    <x:col min="14600" max="14600" width="2.097656" style="129" customWidth="1"/>
    <x:col min="14601" max="14601" width="4.898438" style="129" customWidth="1"/>
    <x:col min="14602" max="14602" width="5.199219" style="129" customWidth="1"/>
    <x:col min="14603" max="14612" width="3.097656" style="129" customWidth="1"/>
    <x:col min="14613" max="14613" width="3.5" style="129" customWidth="1"/>
    <x:col min="14614" max="14615" width="3.097656" style="129" customWidth="1"/>
    <x:col min="14616" max="14616" width="3.898438" style="129" customWidth="1"/>
    <x:col min="14617" max="14848" width="9" style="129" customWidth="1"/>
    <x:col min="14849" max="14852" width="3.699219" style="129" customWidth="1"/>
    <x:col min="14853" max="14853" width="3" style="129" customWidth="1"/>
    <x:col min="14854" max="14854" width="4.898438" style="129" customWidth="1"/>
    <x:col min="14855" max="14855" width="5.898438" style="129" customWidth="1"/>
    <x:col min="14856" max="14856" width="2.097656" style="129" customWidth="1"/>
    <x:col min="14857" max="14857" width="4.898438" style="129" customWidth="1"/>
    <x:col min="14858" max="14858" width="5.199219" style="129" customWidth="1"/>
    <x:col min="14859" max="14868" width="3.097656" style="129" customWidth="1"/>
    <x:col min="14869" max="14869" width="3.5" style="129" customWidth="1"/>
    <x:col min="14870" max="14871" width="3.097656" style="129" customWidth="1"/>
    <x:col min="14872" max="14872" width="3.898438" style="129" customWidth="1"/>
    <x:col min="14873" max="15104" width="9" style="129" customWidth="1"/>
    <x:col min="15105" max="15108" width="3.699219" style="129" customWidth="1"/>
    <x:col min="15109" max="15109" width="3" style="129" customWidth="1"/>
    <x:col min="15110" max="15110" width="4.898438" style="129" customWidth="1"/>
    <x:col min="15111" max="15111" width="5.898438" style="129" customWidth="1"/>
    <x:col min="15112" max="15112" width="2.097656" style="129" customWidth="1"/>
    <x:col min="15113" max="15113" width="4.898438" style="129" customWidth="1"/>
    <x:col min="15114" max="15114" width="5.199219" style="129" customWidth="1"/>
    <x:col min="15115" max="15124" width="3.097656" style="129" customWidth="1"/>
    <x:col min="15125" max="15125" width="3.5" style="129" customWidth="1"/>
    <x:col min="15126" max="15127" width="3.097656" style="129" customWidth="1"/>
    <x:col min="15128" max="15128" width="3.898438" style="129" customWidth="1"/>
    <x:col min="15129" max="15360" width="9" style="129" customWidth="1"/>
    <x:col min="15361" max="15364" width="3.699219" style="129" customWidth="1"/>
    <x:col min="15365" max="15365" width="3" style="129" customWidth="1"/>
    <x:col min="15366" max="15366" width="4.898438" style="129" customWidth="1"/>
    <x:col min="15367" max="15367" width="5.898438" style="129" customWidth="1"/>
    <x:col min="15368" max="15368" width="2.097656" style="129" customWidth="1"/>
    <x:col min="15369" max="15369" width="4.898438" style="129" customWidth="1"/>
    <x:col min="15370" max="15370" width="5.199219" style="129" customWidth="1"/>
    <x:col min="15371" max="15380" width="3.097656" style="129" customWidth="1"/>
    <x:col min="15381" max="15381" width="3.5" style="129" customWidth="1"/>
    <x:col min="15382" max="15383" width="3.097656" style="129" customWidth="1"/>
    <x:col min="15384" max="15384" width="3.898438" style="129" customWidth="1"/>
    <x:col min="15385" max="15616" width="9" style="129" customWidth="1"/>
    <x:col min="15617" max="15620" width="3.699219" style="129" customWidth="1"/>
    <x:col min="15621" max="15621" width="3" style="129" customWidth="1"/>
    <x:col min="15622" max="15622" width="4.898438" style="129" customWidth="1"/>
    <x:col min="15623" max="15623" width="5.898438" style="129" customWidth="1"/>
    <x:col min="15624" max="15624" width="2.097656" style="129" customWidth="1"/>
    <x:col min="15625" max="15625" width="4.898438" style="129" customWidth="1"/>
    <x:col min="15626" max="15626" width="5.199219" style="129" customWidth="1"/>
    <x:col min="15627" max="15636" width="3.097656" style="129" customWidth="1"/>
    <x:col min="15637" max="15637" width="3.5" style="129" customWidth="1"/>
    <x:col min="15638" max="15639" width="3.097656" style="129" customWidth="1"/>
    <x:col min="15640" max="15640" width="3.898438" style="129" customWidth="1"/>
    <x:col min="15641" max="15872" width="9" style="129" customWidth="1"/>
    <x:col min="15873" max="15876" width="3.699219" style="129" customWidth="1"/>
    <x:col min="15877" max="15877" width="3" style="129" customWidth="1"/>
    <x:col min="15878" max="15878" width="4.898438" style="129" customWidth="1"/>
    <x:col min="15879" max="15879" width="5.898438" style="129" customWidth="1"/>
    <x:col min="15880" max="15880" width="2.097656" style="129" customWidth="1"/>
    <x:col min="15881" max="15881" width="4.898438" style="129" customWidth="1"/>
    <x:col min="15882" max="15882" width="5.199219" style="129" customWidth="1"/>
    <x:col min="15883" max="15892" width="3.097656" style="129" customWidth="1"/>
    <x:col min="15893" max="15893" width="3.5" style="129" customWidth="1"/>
    <x:col min="15894" max="15895" width="3.097656" style="129" customWidth="1"/>
    <x:col min="15896" max="15896" width="3.898438" style="129" customWidth="1"/>
    <x:col min="15897" max="16128" width="9" style="129" customWidth="1"/>
    <x:col min="16129" max="16132" width="3.699219" style="129" customWidth="1"/>
    <x:col min="16133" max="16133" width="3" style="129" customWidth="1"/>
    <x:col min="16134" max="16134" width="4.898438" style="129" customWidth="1"/>
    <x:col min="16135" max="16135" width="5.898438" style="129" customWidth="1"/>
    <x:col min="16136" max="16136" width="2.097656" style="129" customWidth="1"/>
    <x:col min="16137" max="16137" width="4.898438" style="129" customWidth="1"/>
    <x:col min="16138" max="16138" width="5.199219" style="129" customWidth="1"/>
    <x:col min="16139" max="16148" width="3.097656" style="129" customWidth="1"/>
    <x:col min="16149" max="16149" width="3.5" style="129" customWidth="1"/>
    <x:col min="16150" max="16151" width="3.097656" style="129" customWidth="1"/>
    <x:col min="16152" max="16152" width="3.898438" style="129" customWidth="1"/>
    <x:col min="16153" max="16384" width="9" style="129" customWidth="1"/>
  </x:cols>
  <x:sheetData>
    <x:row r="1" spans="1:16152" ht="15.9" customHeight="1" x14ac:dyDescent="0.25">
      <x:c r="A1" s="222"/>
      <x:c r="B1" s="222"/>
      <x:c r="C1" s="222"/>
      <x:c r="D1" s="222"/>
      <x:c r="E1" s="223"/>
      <x:c r="F1" s="224"/>
      <x:c r="G1" s="224"/>
      <x:c r="H1" s="224"/>
      <x:c r="I1" s="224"/>
      <x:c r="J1" s="692"/>
      <x:c r="K1" s="692"/>
      <x:c r="L1" s="353" t="s">
        <x:v>42</x:v>
      </x:c>
      <x:c r="M1" s="353"/>
      <x:c r="N1" s="353"/>
      <x:c r="O1" s="353"/>
      <x:c r="P1" s="353"/>
      <x:c r="Q1" s="353"/>
      <x:c r="R1" s="353"/>
      <x:c r="S1" s="235">
        <x:f>IF(数据导入!V2="","",数据导入!V2)</x:f>
      </x:c>
      <x:c r="T1" s="235"/>
      <x:c r="U1" s="235"/>
      <x:c r="V1" s="235"/>
      <x:c r="W1" s="235"/>
      <x:c r="X1" s="235"/>
    </x:row>
    <x:row r="2" spans="1:16152" x14ac:dyDescent="0.25">
      <x:c r="A2" s="222"/>
      <x:c r="B2" s="222"/>
      <x:c r="C2" s="222"/>
      <x:c r="D2" s="222"/>
      <x:c r="E2" s="223"/>
      <x:c r="F2" s="224"/>
      <x:c r="G2" s="224"/>
      <x:c r="H2" s="224"/>
      <x:c r="I2" s="224"/>
      <x:c r="J2" s="692"/>
      <x:c r="K2" s="692"/>
      <x:c r="L2" s="143" t="s">
        <x:v>43</x:v>
      </x:c>
      <x:c r="M2" s="143"/>
      <x:c r="N2" s="143"/>
      <x:c r="O2" s="143"/>
      <x:c r="P2" s="143"/>
      <x:c r="Q2" s="143"/>
      <x:c r="R2" s="143"/>
      <x:c r="S2" s="143"/>
      <x:c r="T2" s="143"/>
      <x:c r="U2" s="143"/>
      <x:c r="V2" s="143"/>
      <x:c r="W2" s="143"/>
      <x:c r="X2" s="235"/>
    </x:row>
    <x:row r="3" spans="1:16152" ht="28.2" customHeight="1" x14ac:dyDescent="0.25">
      <x:c r="A3" s="351">
        <x:f>IFERROR(IF(FIND(数据导入!AH26,数据导入!AI13),"   " &amp;数据导入!AI27),   "   " &amp; 数据导入!AI35)</x:f>
      </x:c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  <x:c r="M3" s="351"/>
      <x:c r="N3" s="351"/>
      <x:c r="O3" s="351"/>
      <x:c r="P3" s="351"/>
      <x:c r="Q3" s="351"/>
      <x:c r="R3" s="351"/>
      <x:c r="S3" s="351"/>
      <x:c r="T3" s="351"/>
      <x:c r="U3" s="351"/>
      <x:c r="V3" s="351"/>
      <x:c r="W3" s="351"/>
      <x:c r="X3" s="351"/>
    </x:row>
    <x:row r="4" spans="1:16152" ht="17.4" customHeight="1" x14ac:dyDescent="0.25">
      <x:c r="A4" s="355">
        <x:f>IFERROR(IF(FIND(数据导入!AH26,数据导入!AI13),"   " &amp;数据导入!AI26),   "   " &amp; 数据导入!AI34)</x:f>
      </x:c>
      <x:c r="B4" s="355"/>
      <x:c r="C4" s="355"/>
      <x:c r="D4" s="355"/>
      <x:c r="E4" s="355"/>
      <x:c r="F4" s="355"/>
      <x:c r="G4" s="355"/>
      <x:c r="H4" s="355"/>
      <x:c r="I4" s="355"/>
      <x:c r="J4" s="355"/>
      <x:c r="K4" s="355"/>
      <x:c r="L4" s="355"/>
      <x:c r="M4" s="355"/>
      <x:c r="N4" s="355"/>
      <x:c r="O4" s="355"/>
      <x:c r="P4" s="355"/>
      <x:c r="Q4" s="355"/>
      <x:c r="R4" s="355"/>
      <x:c r="S4" s="355"/>
      <x:c r="T4" s="355"/>
      <x:c r="U4" s="355"/>
      <x:c r="V4" s="355"/>
      <x:c r="W4" s="355"/>
      <x:c r="X4" s="355"/>
    </x:row>
    <x:row r="5" spans="1:16152" ht="28.2" customHeight="1" x14ac:dyDescent="0.25">
      <x:c r="A5" s="351" t="s">
        <x:v>2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  <x:c r="O5" s="351"/>
      <x:c r="P5" s="351"/>
      <x:c r="Q5" s="351"/>
      <x:c r="R5" s="351"/>
      <x:c r="S5" s="351"/>
      <x:c r="T5" s="351"/>
      <x:c r="U5" s="351"/>
      <x:c r="V5" s="351"/>
      <x:c r="W5" s="351"/>
      <x:c r="X5" s="351"/>
    </x:row>
    <x:row r="6" spans="1:16152" ht="18.6" customHeight="1" x14ac:dyDescent="0.25">
      <x:c r="A6" s="352" t="s">
        <x:v>3</x:v>
      </x:c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  <x:c r="T6" s="352"/>
      <x:c r="U6" s="352"/>
      <x:c r="V6" s="352"/>
      <x:c r="W6" s="352"/>
      <x:c r="X6" s="352"/>
    </x:row>
    <x:row r="7" spans="1:16152" ht="18.75" customHeight="1" x14ac:dyDescent="0.25">
      <x:c r="A7" s="342" t="s">
        <x:v>44</x:v>
      </x:c>
      <x:c r="B7" s="343"/>
      <x:c r="C7" s="343"/>
      <x:c r="D7" s="343"/>
      <x:c r="E7" s="344"/>
      <x:c r="F7" s="323">
        <x:f>检测报告封面!F10</x:f>
      </x:c>
      <x:c r="G7" s="324"/>
      <x:c r="H7" s="324"/>
      <x:c r="I7" s="324"/>
      <x:c r="J7" s="325"/>
      <x:c r="K7" s="342" t="s">
        <x:v>45</x:v>
      </x:c>
      <x:c r="L7" s="312"/>
      <x:c r="M7" s="312"/>
      <x:c r="N7" s="312"/>
      <x:c r="O7" s="312"/>
      <x:c r="P7" s="312"/>
      <x:c r="Q7" s="313"/>
      <x:c r="R7" s="311">
        <x:f>IF(数据导入!AI16="","",数据导入!AI16)</x:f>
      </x:c>
      <x:c r="S7" s="312"/>
      <x:c r="T7" s="312"/>
      <x:c r="U7" s="312"/>
      <x:c r="V7" s="312"/>
      <x:c r="W7" s="312"/>
      <x:c r="X7" s="313"/>
    </x:row>
    <x:row r="8" spans="1:16152" ht="18.75" customHeight="1" x14ac:dyDescent="0.25">
      <x:c r="A8" s="298" t="s">
        <x:v>46</x:v>
      </x:c>
      <x:c r="B8" s="299"/>
      <x:c r="C8" s="299"/>
      <x:c r="D8" s="299"/>
      <x:c r="E8" s="300"/>
      <x:c r="F8" s="326"/>
      <x:c r="G8" s="327"/>
      <x:c r="H8" s="327"/>
      <x:c r="I8" s="327"/>
      <x:c r="J8" s="328"/>
      <x:c r="K8" s="298" t="s">
        <x:v>47</x:v>
      </x:c>
      <x:c r="L8" s="299"/>
      <x:c r="M8" s="299"/>
      <x:c r="N8" s="299"/>
      <x:c r="O8" s="299"/>
      <x:c r="P8" s="299"/>
      <x:c r="Q8" s="300"/>
      <x:c r="R8" s="314"/>
      <x:c r="S8" s="315"/>
      <x:c r="T8" s="315"/>
      <x:c r="U8" s="315"/>
      <x:c r="V8" s="315"/>
      <x:c r="W8" s="315"/>
      <x:c r="X8" s="316"/>
    </x:row>
    <x:row r="9" spans="1:16152" ht="18.75" customHeight="1" x14ac:dyDescent="0.25">
      <x:c r="A9" s="342" t="s">
        <x:v>48</x:v>
      </x:c>
      <x:c r="B9" s="343"/>
      <x:c r="C9" s="343"/>
      <x:c r="D9" s="343"/>
      <x:c r="E9" s="344"/>
      <x:c r="F9" s="345">
        <x:f>IF(数据导入!L2="","",数据导入!L2)</x:f>
      </x:c>
      <x:c r="G9" s="346"/>
      <x:c r="H9" s="346"/>
      <x:c r="I9" s="346"/>
      <x:c r="J9" s="303"/>
      <x:c r="K9" s="342" t="s">
        <x:v>49</x:v>
      </x:c>
      <x:c r="L9" s="343"/>
      <x:c r="M9" s="343"/>
      <x:c r="N9" s="343"/>
      <x:c r="O9" s="343"/>
      <x:c r="P9" s="343"/>
      <x:c r="Q9" s="344"/>
      <x:c r="R9" s="295">
        <x:f>IF(数据导入!AM17="","",数据导入!AM17)</x:f>
      </x:c>
      <x:c r="S9" s="296"/>
      <x:c r="T9" s="296"/>
      <x:c r="U9" s="296"/>
      <x:c r="V9" s="296"/>
      <x:c r="W9" s="296"/>
      <x:c r="X9" s="297"/>
    </x:row>
    <x:row r="10" spans="1:16152" ht="18.75" customHeight="1" x14ac:dyDescent="0.25">
      <x:c r="A10" s="298" t="s">
        <x:v>50</x:v>
      </x:c>
      <x:c r="B10" s="299"/>
      <x:c r="C10" s="299"/>
      <x:c r="D10" s="299"/>
      <x:c r="E10" s="300"/>
      <x:c r="F10" s="347">
        <x:f>IF(数据导入!L6="","",数据导入!L6)</x:f>
      </x:c>
      <x:c r="G10" s="348"/>
      <x:c r="H10" s="225" t="s">
        <x:v>51</x:v>
      </x:c>
      <x:c r="I10" s="349">
        <x:f>IF(数据导入!Q6="","",数据导入!Q6)</x:f>
      </x:c>
      <x:c r="J10" s="350"/>
      <x:c r="K10" s="298" t="s">
        <x:v>52</x:v>
      </x:c>
      <x:c r="L10" s="299"/>
      <x:c r="M10" s="299"/>
      <x:c r="N10" s="299"/>
      <x:c r="O10" s="299"/>
      <x:c r="P10" s="299"/>
      <x:c r="Q10" s="300"/>
      <x:c r="R10" s="298"/>
      <x:c r="S10" s="299"/>
      <x:c r="T10" s="299"/>
      <x:c r="U10" s="299"/>
      <x:c r="V10" s="299"/>
      <x:c r="W10" s="299"/>
      <x:c r="X10" s="300"/>
    </x:row>
    <x:row r="11" spans="1:16152" ht="18.75" customHeight="1" x14ac:dyDescent="0.25">
      <x:c r="A11" s="342" t="s">
        <x:v>53</x:v>
      </x:c>
      <x:c r="B11" s="343"/>
      <x:c r="C11" s="343"/>
      <x:c r="D11" s="343"/>
      <x:c r="E11" s="344"/>
      <x:c r="F11" s="301">
        <x:f>IF(数据导入!AM11="","",数据导入!AM11)</x:f>
      </x:c>
      <x:c r="G11" s="302"/>
      <x:c r="H11" s="302"/>
      <x:c r="I11" s="302"/>
      <x:c r="J11" s="303"/>
      <x:c r="K11" s="342" t="s">
        <x:v>54</x:v>
      </x:c>
      <x:c r="L11" s="343"/>
      <x:c r="M11" s="343"/>
      <x:c r="N11" s="343"/>
      <x:c r="O11" s="343"/>
      <x:c r="P11" s="343"/>
      <x:c r="Q11" s="344"/>
      <x:c r="R11" s="295">
        <x:f>IF(数据导入!AM20="","",数据导入!AM20)</x:f>
      </x:c>
      <x:c r="S11" s="296"/>
      <x:c r="T11" s="296"/>
      <x:c r="U11" s="296"/>
      <x:c r="V11" s="296"/>
      <x:c r="W11" s="296"/>
      <x:c r="X11" s="297"/>
    </x:row>
    <x:row r="12" spans="1:16152" ht="18.75" customHeight="1" x14ac:dyDescent="0.25">
      <x:c r="A12" s="298" t="s">
        <x:v>55</x:v>
      </x:c>
      <x:c r="B12" s="299"/>
      <x:c r="C12" s="299"/>
      <x:c r="D12" s="299"/>
      <x:c r="E12" s="300"/>
      <x:c r="F12" s="304"/>
      <x:c r="G12" s="225"/>
      <x:c r="H12" s="225"/>
      <x:c r="I12" s="225"/>
      <x:c r="J12" s="306"/>
      <x:c r="K12" s="298" t="s">
        <x:v>56</x:v>
      </x:c>
      <x:c r="L12" s="299"/>
      <x:c r="M12" s="299"/>
      <x:c r="N12" s="299"/>
      <x:c r="O12" s="299"/>
      <x:c r="P12" s="299"/>
      <x:c r="Q12" s="300"/>
      <x:c r="R12" s="298"/>
      <x:c r="S12" s="299"/>
      <x:c r="T12" s="299"/>
      <x:c r="U12" s="299"/>
      <x:c r="V12" s="299"/>
      <x:c r="W12" s="299"/>
      <x:c r="X12" s="300"/>
    </x:row>
    <x:row r="13" spans="1:16152" ht="18.75" customHeight="1" x14ac:dyDescent="0.25">
      <x:c r="A13" s="342" t="s">
        <x:v>57</x:v>
      </x:c>
      <x:c r="B13" s="343"/>
      <x:c r="C13" s="343"/>
      <x:c r="D13" s="343"/>
      <x:c r="E13" s="343"/>
      <x:c r="F13" s="301">
        <x:f>IF(数据导入!AI15="","",数据导入!AI15)</x:f>
      </x:c>
      <x:c r="G13" s="302"/>
      <x:c r="H13" s="302"/>
      <x:c r="I13" s="302"/>
      <x:c r="J13" s="303"/>
      <x:c r="K13" s="342" t="s">
        <x:v>58</x:v>
      </x:c>
      <x:c r="L13" s="343"/>
      <x:c r="M13" s="343"/>
      <x:c r="N13" s="343"/>
      <x:c r="O13" s="343"/>
      <x:c r="P13" s="343"/>
      <x:c r="Q13" s="344"/>
      <x:c r="R13" s="296">
        <x:f>IF(数据导入!AM15="","",数据导入!AM15)</x:f>
      </x:c>
      <x:c r="S13" s="296"/>
      <x:c r="T13" s="296"/>
      <x:c r="U13" s="296"/>
      <x:c r="V13" s="296"/>
      <x:c r="W13" s="296"/>
      <x:c r="X13" s="297"/>
    </x:row>
    <x:row r="14" spans="1:16152" ht="18.75" customHeight="1" x14ac:dyDescent="0.25">
      <x:c r="A14" s="298" t="s">
        <x:v>59</x:v>
      </x:c>
      <x:c r="B14" s="299"/>
      <x:c r="C14" s="299"/>
      <x:c r="D14" s="299"/>
      <x:c r="E14" s="299"/>
      <x:c r="F14" s="304"/>
      <x:c r="G14" s="225"/>
      <x:c r="H14" s="225"/>
      <x:c r="I14" s="225"/>
      <x:c r="J14" s="306"/>
      <x:c r="K14" s="298" t="s">
        <x:v>60</x:v>
      </x:c>
      <x:c r="L14" s="299"/>
      <x:c r="M14" s="299"/>
      <x:c r="N14" s="299"/>
      <x:c r="O14" s="299"/>
      <x:c r="P14" s="299"/>
      <x:c r="Q14" s="300"/>
      <x:c r="R14" s="299"/>
      <x:c r="S14" s="299"/>
      <x:c r="T14" s="299"/>
      <x:c r="U14" s="299"/>
      <x:c r="V14" s="299"/>
      <x:c r="W14" s="299"/>
      <x:c r="X14" s="300"/>
    </x:row>
    <x:row r="15" spans="1:16152" ht="18.75" customHeight="1" x14ac:dyDescent="0.25">
      <x:c r="A15" s="342" t="s">
        <x:v>61</x:v>
      </x:c>
      <x:c r="B15" s="343"/>
      <x:c r="C15" s="343"/>
      <x:c r="D15" s="343"/>
      <x:c r="E15" s="343"/>
      <x:c r="F15" s="323">
        <x:f>IFERROR(IF(FIND(数据导入!AH26,数据导入!AI13),"   " &amp;数据导入!AI27),   "   " &amp; 数据导入!AI35)</x:f>
      </x:c>
      <x:c r="G15" s="324"/>
      <x:c r="H15" s="324"/>
      <x:c r="I15" s="324"/>
      <x:c r="J15" s="325"/>
      <x:c r="K15" s="342" t="s">
        <x:v>62</x:v>
      </x:c>
      <x:c r="L15" s="343"/>
      <x:c r="M15" s="343"/>
      <x:c r="N15" s="343"/>
      <x:c r="O15" s="343"/>
      <x:c r="P15" s="343"/>
      <x:c r="Q15" s="344"/>
      <x:c r="R15" s="296">
        <x:f>IF(数据导入!AM10="","",数据导入!AM10)</x:f>
      </x:c>
      <x:c r="S15" s="296"/>
      <x:c r="T15" s="296"/>
      <x:c r="U15" s="296"/>
      <x:c r="V15" s="296"/>
      <x:c r="W15" s="296"/>
      <x:c r="X15" s="297"/>
    </x:row>
    <x:row r="16" spans="1:16152" ht="18.75" customHeight="1" x14ac:dyDescent="0.25">
      <x:c r="A16" s="298" t="s">
        <x:v>63</x:v>
      </x:c>
      <x:c r="B16" s="299"/>
      <x:c r="C16" s="299"/>
      <x:c r="D16" s="299"/>
      <x:c r="E16" s="299"/>
      <x:c r="F16" s="326"/>
      <x:c r="G16" s="327"/>
      <x:c r="H16" s="327"/>
      <x:c r="I16" s="327"/>
      <x:c r="J16" s="328"/>
      <x:c r="K16" s="298" t="s">
        <x:v>64</x:v>
      </x:c>
      <x:c r="L16" s="299"/>
      <x:c r="M16" s="299"/>
      <x:c r="N16" s="299"/>
      <x:c r="O16" s="299"/>
      <x:c r="P16" s="299"/>
      <x:c r="Q16" s="300"/>
      <x:c r="R16" s="299"/>
      <x:c r="S16" s="299"/>
      <x:c r="T16" s="299"/>
      <x:c r="U16" s="299"/>
      <x:c r="V16" s="299"/>
      <x:c r="W16" s="299"/>
      <x:c r="X16" s="300"/>
    </x:row>
    <x:row r="17" spans="1:16152" ht="18.75" customHeight="1" x14ac:dyDescent="0.25">
      <x:c r="A17" s="342" t="s">
        <x:v>65</x:v>
      </x:c>
      <x:c r="B17" s="343"/>
      <x:c r="C17" s="343"/>
      <x:c r="D17" s="343"/>
      <x:c r="E17" s="343"/>
      <x:c r="F17" s="301">
        <x:f>IF(数据导入!AM12="","",数据导入!AM12)</x:f>
      </x:c>
      <x:c r="G17" s="302"/>
      <x:c r="H17" s="302"/>
      <x:c r="I17" s="302"/>
      <x:c r="J17" s="303"/>
      <x:c r="K17" s="342" t="s">
        <x:v>66</x:v>
      </x:c>
      <x:c r="L17" s="343"/>
      <x:c r="M17" s="343"/>
      <x:c r="N17" s="343"/>
      <x:c r="O17" s="343"/>
      <x:c r="P17" s="343"/>
      <x:c r="Q17" s="344"/>
      <x:c r="R17" s="296">
        <x:f>IF(数据导入!AM18="","",数据导入!AM18)</x:f>
      </x:c>
      <x:c r="S17" s="296"/>
      <x:c r="T17" s="296"/>
      <x:c r="U17" s="296"/>
      <x:c r="V17" s="296"/>
      <x:c r="W17" s="296"/>
      <x:c r="X17" s="297"/>
    </x:row>
    <x:row r="18" spans="1:16152" ht="18.75" customHeight="1" x14ac:dyDescent="0.25">
      <x:c r="A18" s="298" t="s">
        <x:v>67</x:v>
      </x:c>
      <x:c r="B18" s="299"/>
      <x:c r="C18" s="299"/>
      <x:c r="D18" s="299"/>
      <x:c r="E18" s="299"/>
      <x:c r="F18" s="304"/>
      <x:c r="G18" s="225"/>
      <x:c r="H18" s="225"/>
      <x:c r="I18" s="225"/>
      <x:c r="J18" s="306"/>
      <x:c r="K18" s="298" t="s">
        <x:v>68</x:v>
      </x:c>
      <x:c r="L18" s="299"/>
      <x:c r="M18" s="299"/>
      <x:c r="N18" s="299"/>
      <x:c r="O18" s="299"/>
      <x:c r="P18" s="299"/>
      <x:c r="Q18" s="300"/>
      <x:c r="R18" s="299"/>
      <x:c r="S18" s="299"/>
      <x:c r="T18" s="299"/>
      <x:c r="U18" s="299"/>
      <x:c r="V18" s="299"/>
      <x:c r="W18" s="299"/>
      <x:c r="X18" s="300"/>
    </x:row>
    <x:row r="19" spans="1:16152" ht="18.75" customHeight="1" x14ac:dyDescent="0.25">
      <x:c r="A19" s="342" t="s">
        <x:v>69</x:v>
      </x:c>
      <x:c r="B19" s="343"/>
      <x:c r="C19" s="343"/>
      <x:c r="D19" s="343"/>
      <x:c r="E19" s="343"/>
      <x:c r="F19" s="301">
        <x:f>IF(数据导入!AM13="","",数据导入!AM13)</x:f>
      </x:c>
      <x:c r="G19" s="302"/>
      <x:c r="H19" s="302"/>
      <x:c r="I19" s="302"/>
      <x:c r="J19" s="303"/>
      <x:c r="K19" s="342" t="s">
        <x:v>70</x:v>
      </x:c>
      <x:c r="L19" s="343"/>
      <x:c r="M19" s="343"/>
      <x:c r="N19" s="343"/>
      <x:c r="O19" s="343"/>
      <x:c r="P19" s="343"/>
      <x:c r="Q19" s="344"/>
      <x:c r="R19" s="307">
        <x:f>IF(数据导入!AM19="","",数据导入!AM19)</x:f>
      </x:c>
      <x:c r="S19" s="307"/>
      <x:c r="T19" s="307"/>
      <x:c r="U19" s="307"/>
      <x:c r="V19" s="307"/>
      <x:c r="W19" s="307"/>
      <x:c r="X19" s="308"/>
    </x:row>
    <x:row r="20" spans="1:16152" ht="18.75" customHeight="1" x14ac:dyDescent="0.25">
      <x:c r="A20" s="298" t="s">
        <x:v>71</x:v>
      </x:c>
      <x:c r="B20" s="299"/>
      <x:c r="C20" s="299"/>
      <x:c r="D20" s="299"/>
      <x:c r="E20" s="299"/>
      <x:c r="F20" s="304"/>
      <x:c r="G20" s="225"/>
      <x:c r="H20" s="225"/>
      <x:c r="I20" s="225"/>
      <x:c r="J20" s="306"/>
      <x:c r="K20" s="298" t="s">
        <x:v>72</x:v>
      </x:c>
      <x:c r="L20" s="299"/>
      <x:c r="M20" s="299"/>
      <x:c r="N20" s="299"/>
      <x:c r="O20" s="299"/>
      <x:c r="P20" s="299"/>
      <x:c r="Q20" s="300"/>
      <x:c r="R20" s="309"/>
      <x:c r="S20" s="309"/>
      <x:c r="T20" s="309"/>
      <x:c r="U20" s="309"/>
      <x:c r="V20" s="309"/>
      <x:c r="W20" s="309"/>
      <x:c r="X20" s="310"/>
    </x:row>
    <x:row r="21" spans="1:16152" ht="18.75" customHeight="1" x14ac:dyDescent="0.25">
      <x:c r="A21" s="342" t="s">
        <x:v>73</x:v>
      </x:c>
      <x:c r="B21" s="343"/>
      <x:c r="C21" s="343"/>
      <x:c r="D21" s="343"/>
      <x:c r="E21" s="343"/>
      <x:c r="F21" s="323">
        <x:f>IF(数据导入!AM14="","",数据导入!AM14)</x:f>
      </x:c>
      <x:c r="G21" s="324"/>
      <x:c r="H21" s="324"/>
      <x:c r="I21" s="324"/>
      <x:c r="J21" s="325"/>
      <x:c r="K21" s="342" t="s">
        <x:v>74</x:v>
      </x:c>
      <x:c r="L21" s="343"/>
      <x:c r="M21" s="343"/>
      <x:c r="N21" s="343"/>
      <x:c r="O21" s="343"/>
      <x:c r="P21" s="343"/>
      <x:c r="Q21" s="344"/>
      <x:c r="R21" s="307">
        <x:f>IF(数据导入!AA3="","",数据导入!AA3)</x:f>
      </x:c>
      <x:c r="S21" s="307"/>
      <x:c r="T21" s="307"/>
      <x:c r="U21" s="307"/>
      <x:c r="V21" s="307"/>
      <x:c r="W21" s="307"/>
      <x:c r="X21" s="308"/>
    </x:row>
    <x:row r="22" spans="1:16152" ht="18.75" customHeight="1" x14ac:dyDescent="0.25">
      <x:c r="A22" s="298" t="s">
        <x:v>75</x:v>
      </x:c>
      <x:c r="B22" s="299"/>
      <x:c r="C22" s="299"/>
      <x:c r="D22" s="299"/>
      <x:c r="E22" s="299"/>
      <x:c r="F22" s="326"/>
      <x:c r="G22" s="327"/>
      <x:c r="H22" s="327"/>
      <x:c r="I22" s="327"/>
      <x:c r="J22" s="328"/>
      <x:c r="K22" s="298" t="s">
        <x:v>76</x:v>
      </x:c>
      <x:c r="L22" s="299"/>
      <x:c r="M22" s="299"/>
      <x:c r="N22" s="299"/>
      <x:c r="O22" s="299"/>
      <x:c r="P22" s="299"/>
      <x:c r="Q22" s="300"/>
      <x:c r="R22" s="309"/>
      <x:c r="S22" s="309"/>
      <x:c r="T22" s="309"/>
      <x:c r="U22" s="309"/>
      <x:c r="V22" s="309"/>
      <x:c r="W22" s="309"/>
      <x:c r="X22" s="310"/>
    </x:row>
    <x:row r="23" spans="1:16152" ht="45" customHeight="1" x14ac:dyDescent="0.25">
      <x:c r="A23" s="311" t="s">
        <x:v>77</x:v>
      </x:c>
      <x:c r="B23" s="312"/>
      <x:c r="C23" s="312"/>
      <x:c r="D23" s="312"/>
      <x:c r="E23" s="313"/>
      <x:c r="F23" s="317" t="s">
        <x:v>78</x:v>
      </x:c>
      <x:c r="G23" s="318"/>
      <x:c r="H23" s="318"/>
      <x:c r="I23" s="318"/>
      <x:c r="J23" s="318"/>
      <x:c r="K23" s="318"/>
      <x:c r="L23" s="318"/>
      <x:c r="M23" s="318"/>
      <x:c r="N23" s="318"/>
      <x:c r="O23" s="318"/>
      <x:c r="P23" s="318"/>
      <x:c r="Q23" s="318"/>
      <x:c r="R23" s="318"/>
      <x:c r="S23" s="318"/>
      <x:c r="T23" s="318"/>
      <x:c r="U23" s="318"/>
      <x:c r="V23" s="318"/>
      <x:c r="W23" s="318"/>
      <x:c r="X23" s="319"/>
    </x:row>
    <x:row r="24" spans="1:16152" ht="24.75" customHeight="1" x14ac:dyDescent="0.25">
      <x:c r="A24" s="314"/>
      <x:c r="B24" s="315"/>
      <x:c r="C24" s="315"/>
      <x:c r="D24" s="315"/>
      <x:c r="E24" s="316"/>
      <x:c r="F24" s="320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321"/>
      <x:c r="Q24" s="321"/>
      <x:c r="R24" s="321"/>
      <x:c r="S24" s="321"/>
      <x:c r="T24" s="321"/>
      <x:c r="U24" s="321"/>
      <x:c r="V24" s="321"/>
      <x:c r="W24" s="321"/>
      <x:c r="X24" s="322"/>
    </x:row>
    <x:row r="25" spans="1:16152" ht="96.75" customHeight="1" x14ac:dyDescent="0.25">
      <x:c r="A25" s="311" t="s">
        <x:v>79</x:v>
      </x:c>
      <x:c r="B25" s="312"/>
      <x:c r="C25" s="312"/>
      <x:c r="D25" s="312"/>
      <x:c r="E25" s="313"/>
      <x:c r="F25" s="317" t="s">
        <x:v>80</x:v>
      </x:c>
      <x:c r="G25" s="318"/>
      <x:c r="H25" s="318"/>
      <x:c r="I25" s="318"/>
      <x:c r="J25" s="318"/>
      <x:c r="K25" s="318"/>
      <x:c r="L25" s="318"/>
      <x:c r="M25" s="318"/>
      <x:c r="N25" s="318"/>
      <x:c r="O25" s="318"/>
      <x:c r="P25" s="318"/>
      <x:c r="Q25" s="318"/>
      <x:c r="R25" s="318"/>
      <x:c r="S25" s="318"/>
      <x:c r="T25" s="318"/>
      <x:c r="U25" s="318"/>
      <x:c r="V25" s="318"/>
      <x:c r="W25" s="318"/>
      <x:c r="X25" s="319"/>
    </x:row>
    <x:row r="26" spans="1:16152" ht="42.75" customHeight="1" x14ac:dyDescent="0.25">
      <x:c r="A26" s="341"/>
      <x:c r="B26" s="331"/>
      <x:c r="C26" s="331"/>
      <x:c r="D26" s="331"/>
      <x:c r="E26" s="332"/>
      <x:c r="F26" s="329" t="s">
        <x:v>81</x:v>
      </x:c>
      <x:c r="G26" s="330"/>
      <x:c r="H26" s="330"/>
      <x:c r="I26" s="330"/>
      <x:c r="J26" s="330"/>
      <x:c r="K26" s="330"/>
      <x:c r="L26" s="330"/>
      <x:c r="M26" s="330"/>
      <x:c r="N26" s="330"/>
      <x:c r="O26" s="330"/>
      <x:c r="P26" s="330"/>
      <x:c r="Q26" s="330"/>
      <x:c r="R26" s="330"/>
      <x:c r="S26" s="331"/>
      <x:c r="T26" s="331"/>
      <x:c r="U26" s="331"/>
      <x:c r="V26" s="331"/>
      <x:c r="W26" s="331"/>
      <x:c r="X26" s="332"/>
    </x:row>
    <x:row r="27" spans="1:16152" ht="24.75" customHeight="1" x14ac:dyDescent="0.25">
      <x:c r="A27" s="314"/>
      <x:c r="B27" s="315"/>
      <x:c r="C27" s="315"/>
      <x:c r="D27" s="315"/>
      <x:c r="E27" s="316"/>
      <x:c r="F27" s="226"/>
      <x:c r="G27" s="227"/>
      <x:c r="H27" s="228"/>
      <x:c r="I27" s="228"/>
      <x:c r="J27" s="228"/>
      <x:c r="K27" s="234"/>
      <x:c r="L27" s="233" t="s">
        <x:v>82</x:v>
      </x:c>
      <x:c r="M27" s="234"/>
      <x:c r="N27" s="234"/>
      <x:c r="O27" s="234"/>
      <x:c r="P27" s="333"/>
      <x:c r="Q27" s="333"/>
      <x:c r="R27" s="333"/>
      <x:c r="S27" s="333"/>
      <x:c r="T27" s="333"/>
      <x:c r="U27" s="333"/>
      <x:c r="V27" s="333"/>
      <x:c r="W27" s="333"/>
      <x:c r="X27" s="334"/>
    </x:row>
    <x:row r="28" spans="1:16152" ht="46.5" customHeight="1" x14ac:dyDescent="0.25">
      <x:c r="A28" s="335" t="s">
        <x:v>83</x:v>
      </x:c>
      <x:c r="B28" s="336"/>
      <x:c r="C28" s="336"/>
      <x:c r="D28" s="336"/>
      <x:c r="E28" s="337"/>
      <x:c r="F28" s="338"/>
      <x:c r="G28" s="339"/>
      <x:c r="H28" s="339"/>
      <x:c r="I28" s="339"/>
      <x:c r="J28" s="339"/>
      <x:c r="K28" s="339"/>
      <x:c r="L28" s="339"/>
      <x:c r="M28" s="339"/>
      <x:c r="N28" s="339"/>
      <x:c r="O28" s="339"/>
      <x:c r="P28" s="339"/>
      <x:c r="Q28" s="339"/>
      <x:c r="R28" s="339"/>
      <x:c r="S28" s="339"/>
      <x:c r="T28" s="339"/>
      <x:c r="U28" s="339"/>
      <x:c r="V28" s="339"/>
      <x:c r="W28" s="339"/>
      <x:c r="X28" s="340"/>
    </x:row>
    <x:row r="29" spans="1:16152" x14ac:dyDescent="0.25">
      <x:c r="A29" s="229"/>
      <x:c r="B29" s="229"/>
      <x:c r="C29" s="229"/>
      <x:c r="D29" s="229"/>
      <x:c r="E29" s="229"/>
      <x:c r="F29" s="230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  <x:c r="R29" s="230"/>
      <x:c r="S29" s="230"/>
      <x:c r="T29" s="230"/>
      <x:c r="U29" s="230"/>
      <x:c r="V29" s="230"/>
      <x:c r="W29" s="230"/>
      <x:c r="X29" s="230"/>
    </x:row>
    <x:row r="30" spans="1:16152" ht="15" customHeight="1" x14ac:dyDescent="0.25">
      <x:c r="A30" s="293" t="s">
        <x:v>84</x:v>
      </x:c>
      <x:c r="B30" s="293"/>
      <x:c r="C30" s="293"/>
      <x:c r="D30" s="293"/>
      <x:c r="E30" s="175"/>
      <x:c r="F30" s="175"/>
      <x:c r="G30" s="175"/>
      <x:c r="H30" s="294" t="s">
        <x:v>85</x:v>
      </x:c>
      <x:c r="I30" s="294"/>
      <x:c r="J30" s="294"/>
      <x:c r="K30" s="294"/>
      <x:c r="L30" s="178"/>
      <x:c r="M30" s="693"/>
      <x:c r="N30" s="175"/>
      <x:c r="O30" s="175"/>
      <x:c r="P30" s="294" t="s">
        <x:v>86</x:v>
      </x:c>
      <x:c r="Q30" s="294"/>
      <x:c r="R30" s="294"/>
      <x:c r="S30" s="294"/>
      <x:c r="T30" s="178"/>
      <x:c r="U30" s="178"/>
      <x:c r="V30" s="178"/>
      <x:c r="W30" s="178"/>
      <x:c r="X30" s="178"/>
    </x:row>
    <x:row r="31" spans="1:16152" x14ac:dyDescent="0.25">
      <x:c r="A31" s="293"/>
      <x:c r="B31" s="293"/>
      <x:c r="C31" s="293"/>
      <x:c r="D31" s="293"/>
      <x:c r="E31" s="176" t="s">
        <x:v>87</x:v>
      </x:c>
      <x:c r="F31" s="178"/>
      <x:c r="G31" s="178"/>
      <x:c r="H31" s="294"/>
      <x:c r="I31" s="294"/>
      <x:c r="J31" s="294"/>
      <x:c r="K31" s="294"/>
      <x:c r="L31" s="188" t="s">
        <x:v>88</x:v>
      </x:c>
      <x:c r="M31" s="178"/>
      <x:c r="N31" s="178"/>
      <x:c r="O31" s="178"/>
      <x:c r="P31" s="294"/>
      <x:c r="Q31" s="294"/>
      <x:c r="R31" s="294"/>
      <x:c r="S31" s="294"/>
      <x:c r="T31" s="189" t="s">
        <x:v>89</x:v>
      </x:c>
      <x:c r="U31" s="693"/>
      <x:c r="V31" s="693"/>
      <x:c r="W31" s="693"/>
      <x:c r="X31" s="221"/>
    </x:row>
    <x:row r="32" ht="9.75" customHeight="1" x14ac:dyDescent="0.25"/>
  </x:sheetData>
  <x:mergeCells count="68">
    <x:mergeCell ref="L1:R1"/>
    <x:mergeCell ref="S1:X1"/>
    <x:mergeCell ref="L2:W2"/>
    <x:mergeCell ref="A3:X3"/>
    <x:mergeCell ref="A4:X4"/>
    <x:mergeCell ref="A5:X5"/>
    <x:mergeCell ref="A6:X6"/>
    <x:mergeCell ref="A7:E7"/>
    <x:mergeCell ref="F7:J8"/>
    <x:mergeCell ref="K7:Q7"/>
    <x:mergeCell ref="R7:X8"/>
    <x:mergeCell ref="A8:E8"/>
    <x:mergeCell ref="K8:Q8"/>
    <x:mergeCell ref="A9:E9"/>
    <x:mergeCell ref="F9:J9"/>
    <x:mergeCell ref="K9:Q9"/>
    <x:mergeCell ref="R9:X10"/>
    <x:mergeCell ref="A10:E10"/>
    <x:mergeCell ref="F10:G10"/>
    <x:mergeCell ref="I10:J10"/>
    <x:mergeCell ref="K10:Q10"/>
    <x:mergeCell ref="A11:E11"/>
    <x:mergeCell ref="F11:J12"/>
    <x:mergeCell ref="K11:Q11"/>
    <x:mergeCell ref="R11:X12"/>
    <x:mergeCell ref="A12:E12"/>
    <x:mergeCell ref="K12:Q12"/>
    <x:mergeCell ref="A13:E13"/>
    <x:mergeCell ref="F13:J14"/>
    <x:mergeCell ref="K13:Q13"/>
    <x:mergeCell ref="R13:X14"/>
    <x:mergeCell ref="A14:E14"/>
    <x:mergeCell ref="K14:Q14"/>
    <x:mergeCell ref="A15:E15"/>
    <x:mergeCell ref="F15:J16"/>
    <x:mergeCell ref="K15:Q15"/>
    <x:mergeCell ref="R15:X16"/>
    <x:mergeCell ref="A16:E16"/>
    <x:mergeCell ref="K16:Q16"/>
    <x:mergeCell ref="A17:E17"/>
    <x:mergeCell ref="F17:J18"/>
    <x:mergeCell ref="K17:Q17"/>
    <x:mergeCell ref="R17:X18"/>
    <x:mergeCell ref="A18:E18"/>
    <x:mergeCell ref="K18:Q18"/>
    <x:mergeCell ref="A19:E19"/>
    <x:mergeCell ref="F19:J20"/>
    <x:mergeCell ref="K19:Q19"/>
    <x:mergeCell ref="R19:X20"/>
    <x:mergeCell ref="A20:E20"/>
    <x:mergeCell ref="K20:Q20"/>
    <x:mergeCell ref="A21:E21"/>
    <x:mergeCell ref="F21:J22"/>
    <x:mergeCell ref="K21:Q21"/>
    <x:mergeCell ref="R21:X22"/>
    <x:mergeCell ref="A22:E22"/>
    <x:mergeCell ref="K22:Q22"/>
    <x:mergeCell ref="A23:E24"/>
    <x:mergeCell ref="F23:X24"/>
    <x:mergeCell ref="A25:E27"/>
    <x:mergeCell ref="F25:X25"/>
    <x:mergeCell ref="F26:X26"/>
    <x:mergeCell ref="P27:X27"/>
    <x:mergeCell ref="A28:E28"/>
    <x:mergeCell ref="F28:X28"/>
    <x:mergeCell ref="A30:D31"/>
    <x:mergeCell ref="H30:K31"/>
    <x:mergeCell ref="P30:S31"/>
  </x:mergeCells>
  <x:phoneticPr fontId="127" type="noConversion"/>
  <x:printOptions horizontalCentered="0" verticalCentered="0" headings="0" gridLines="0"/>
  <x:pageMargins left="0.84375" right="0.5" top="0.427083333333333" bottom="0.28125" header="0.20833333333333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90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91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92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93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94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95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96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97</x:v>
      </x:c>
      <x:c r="H6" s="453">
        <x:f>IF(数据导入!Q2="","",数据导入!Q2)</x:f>
      </x:c>
      <x:c r="I6" s="453"/>
      <x:c r="J6" s="155" t="s">
        <x:v>98</x:v>
      </x:c>
      <x:c r="K6" s="452"/>
      <x:c r="L6" s="457">
        <x:f>IF(数据导入!AA3="","",数据导入!AA3)</x:f>
      </x:c>
      <x:c r="M6" s="458"/>
      <x:c r="N6" s="459" t="s">
        <x:v>99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100</x:v>
      </x:c>
    </x:row>
    <x:row r="7" spans="1:24" ht="41.1" customHeight="1" x14ac:dyDescent="0.15">
      <x:c r="A7" s="464" t="s">
        <x:v>101</x:v>
      </x:c>
      <x:c r="B7" s="465"/>
      <x:c r="C7" s="156">
        <x:f>IF(数据导入!L3="","",数据导入!L3)</x:f>
      </x:c>
      <x:c r="D7" s="156"/>
      <x:c r="E7" s="157"/>
      <x:c r="F7" s="158" t="s">
        <x:v>102</x:v>
      </x:c>
      <x:c r="G7" s="159" t="s">
        <x:v>103</x:v>
      </x:c>
      <x:c r="H7" s="157">
        <x:f>IF(数据导入!L4="","",数据导入!L4)</x:f>
      </x:c>
      <x:c r="I7" s="158" t="s">
        <x:v>104</x:v>
      </x:c>
      <x:c r="J7" s="159" t="s">
        <x:v>105</x:v>
      </x:c>
      <x:c r="K7" s="465"/>
      <x:c r="L7" s="157">
        <x:f>IF(数据导入!AI20="","",数据导入!AI20)</x:f>
      </x:c>
      <x:c r="M7" s="181" t="s">
        <x:v>39</x:v>
      </x:c>
      <x:c r="N7" s="459" t="s">
        <x:v>106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39</x:v>
      </x:c>
    </x:row>
    <x:row r="8" spans="1:24" ht="30" customHeight="1" s="151" customFormat="1" x14ac:dyDescent="0.25">
      <x:c r="A8" s="464" t="s">
        <x:v>107</x:v>
      </x:c>
      <x:c r="B8" s="465"/>
      <x:c r="C8" s="156">
        <x:f>IF(数据导入!Q4="","",数据导入!Q4)</x:f>
      </x:c>
      <x:c r="D8" s="156"/>
      <x:c r="E8" s="157"/>
      <x:c r="F8" s="158" t="s">
        <x:v>108</x:v>
      </x:c>
      <x:c r="G8" s="159" t="s">
        <x:v>109</x:v>
      </x:c>
      <x:c r="H8" s="161">
        <x:f>IF(数据导入!L5="","",数据导入!L5)</x:f>
      </x:c>
      <x:c r="I8" s="158" t="s">
        <x:v>110</x:v>
      </x:c>
      <x:c r="J8" s="465" t="s">
        <x:v>111</x:v>
      </x:c>
      <x:c r="K8" s="465"/>
      <x:c r="L8" s="161">
        <x:f>IF(数据导入!V6="","",数据导入!V6)</x:f>
      </x:c>
      <x:c r="M8" s="181" t="s">
        <x:v>112</x:v>
      </x:c>
      <x:c r="N8" s="470" t="s">
        <x:v>113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112</x:v>
      </x:c>
    </x:row>
    <x:row r="9" spans="1:24" ht="30" customHeight="1" x14ac:dyDescent="0.15">
      <x:c r="A9" s="475" t="s">
        <x:v>114</x:v>
      </x:c>
      <x:c r="B9" s="186"/>
      <x:c r="C9" s="694">
        <x:f>IF(数据导入!V4="","",数据导入!V4)</x:f>
      </x:c>
      <x:c r="D9" s="694"/>
      <x:c r="E9" s="695"/>
      <x:c r="F9" s="696" t="s">
        <x:v>104</x:v>
      </x:c>
      <x:c r="G9" s="183" t="s">
        <x:v>115</x:v>
      </x:c>
      <x:c r="H9" s="165">
        <x:f>IF(数据导入!Q5="","",数据导入!Q5*1000)</x:f>
      </x:c>
      <x:c r="I9" s="163" t="s">
        <x:v>116</x:v>
      </x:c>
      <x:c r="J9" s="183" t="s">
        <x:v>117</x:v>
      </x:c>
      <x:c r="K9" s="421"/>
      <x:c r="L9" s="184">
        <x:f>IF(数据导入!V5="","",数据导入!V5)</x:f>
      </x:c>
      <x:c r="M9" s="185" t="s">
        <x:v>118</x:v>
      </x:c>
      <x:c r="N9" s="422" t="s">
        <x:v>119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112</x:v>
      </x:c>
    </x:row>
    <x:row r="10" spans="1:24" ht="30" customHeight="1" x14ac:dyDescent="0.15">
      <x:c r="A10" s="365" t="s">
        <x:v>120</x:v>
      </x:c>
      <x:c r="B10" s="427" t="s">
        <x:v>121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122</x:v>
      </x:c>
      <x:c r="C11" s="697" t="s">
        <x:v>123</x:v>
      </x:c>
      <x:c r="D11" s="434"/>
      <x:c r="E11" s="698" t="s">
        <x:v>124</x:v>
      </x:c>
      <x:c r="F11" s="166"/>
      <x:c r="G11" s="697" t="s">
        <x:v>125</x:v>
      </x:c>
      <x:c r="H11" s="186" t="s">
        <x:v>126</x:v>
      </x:c>
      <x:c r="I11" s="697" t="s">
        <x:v>127</x:v>
      </x:c>
      <x:c r="J11" s="437"/>
      <x:c r="K11" s="207" t="s">
        <x:v>128</x:v>
      </x:c>
      <x:c r="L11" s="699" t="s">
        <x:v>129</x:v>
      </x:c>
      <x:c r="M11" s="438" t="s">
        <x:v>130</x:v>
      </x:c>
      <x:c r="N11" s="439" t="s">
        <x:v>131</x:v>
      </x:c>
      <x:c r="O11" s="697" t="s">
        <x:v>132</x:v>
      </x:c>
      <x:c r="P11" s="700" t="s">
        <x:v>133</x:v>
      </x:c>
      <x:c r="Q11" s="441"/>
      <x:c r="R11" s="442"/>
      <x:c r="S11" s="701" t="s">
        <x:v>134</x:v>
      </x:c>
      <x:c r="T11" s="444"/>
      <x:c r="U11" s="702"/>
      <x:c r="V11" s="703"/>
      <x:c r="W11" s="704"/>
      <x:c r="X11" s="704"/>
    </x:row>
    <x:row r="12" spans="1:24" ht="13.5" customHeight="1" x14ac:dyDescent="0.15">
      <x:c r="A12" s="366"/>
      <x:c r="B12" s="216" t="s">
        <x:v>135</x:v>
      </x:c>
      <x:c r="C12" s="217" t="s">
        <x:v>136</x:v>
      </x:c>
      <x:c r="D12" s="218"/>
      <x:c r="E12" s="409" t="s">
        <x:v>136</x:v>
      </x:c>
      <x:c r="F12" s="216"/>
      <x:c r="G12" s="217" t="s">
        <x:v>137</x:v>
      </x:c>
      <x:c r="H12" s="217" t="s">
        <x:v>138</x:v>
      </x:c>
      <x:c r="I12" s="218" t="s">
        <x:v>139</x:v>
      </x:c>
      <x:c r="J12" s="411"/>
      <x:c r="K12" s="219" t="s">
        <x:v>140</x:v>
      </x:c>
      <x:c r="L12" s="216" t="s">
        <x:v>141</x:v>
      </x:c>
      <x:c r="M12" s="412" t="s">
        <x:v>142</x:v>
      </x:c>
      <x:c r="N12" s="413" t="s">
        <x:v>142</x:v>
      </x:c>
      <x:c r="O12" s="218" t="s">
        <x:v>143</x:v>
      </x:c>
      <x:c r="P12" s="414" t="s">
        <x:v>144</x:v>
      </x:c>
      <x:c r="Q12" s="415"/>
      <x:c r="R12" s="416"/>
      <x:c r="S12" s="218" t="s">
        <x:v>145</x:v>
      </x:c>
      <x:c r="T12" s="417"/>
      <x:c r="U12" s="705"/>
      <x:c r="V12" s="8"/>
      <x:c r="W12" s="706"/>
      <x:c r="X12" s="706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146</x:v>
      </x:c>
      <x:c r="B47" s="373"/>
      <x:c r="C47" s="374" t="s">
        <x:v>147</x:v>
      </x:c>
      <x:c r="D47" s="375"/>
      <x:c r="E47" s="375"/>
      <x:c r="F47" s="376"/>
      <x:c r="G47" s="519" t="s">
        <x:v>148</x:v>
      </x:c>
      <x:c r="H47" s="707"/>
      <x:c r="I47" s="377" t="s">
        <x:v>149</x:v>
      </x:c>
      <x:c r="J47" s="707"/>
      <x:c r="K47" s="707"/>
      <x:c r="L47" s="378" t="s">
        <x:v>150</x:v>
      </x:c>
      <x:c r="M47" s="379"/>
      <x:c r="N47" s="379"/>
      <x:c r="O47" s="379"/>
      <x:c r="P47" s="380" t="s">
        <x:v>151</x:v>
      </x:c>
      <x:c r="Q47" s="381"/>
      <x:c r="R47" s="381"/>
      <x:c r="S47" s="381"/>
      <x:c r="T47" s="382"/>
    </x:row>
    <x:row r="48" spans="1:24" ht="24.9" customHeight="1" x14ac:dyDescent="0.2">
      <x:c r="A48" s="383" t="s">
        <x:v>152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8">
        <x:f>IF(数据导入!G8="","",数据导入!G8)</x:f>
      </x:c>
      <x:c r="J48" s="708"/>
      <x:c r="K48" s="708"/>
      <x:c r="L48" s="388">
        <x:f>数据导入!G9</x:f>
      </x:c>
      <x:c r="M48" s="388"/>
      <x:c r="N48" s="388"/>
      <x:c r="O48" s="388"/>
      <x:c r="P48" s="389" t="s">
        <x:v>51</x:v>
      </x:c>
      <x:c r="Q48" s="389"/>
      <x:c r="R48" s="389"/>
      <x:c r="S48" s="389"/>
      <x:c r="T48" s="390"/>
    </x:row>
    <x:row r="49" spans="1:24" ht="24.9" customHeight="1" x14ac:dyDescent="0.2">
      <x:c r="A49" s="356" t="s">
        <x:v>153</x:v>
      </x:c>
      <x:c r="B49" s="357"/>
      <x:c r="C49" s="358">
        <x:f>数据导入!G16</x:f>
      </x:c>
      <x:c r="D49" s="358"/>
      <x:c r="E49" s="358"/>
      <x:c r="F49" s="359"/>
      <x:c r="G49" s="519" t="s">
        <x:v>154</x:v>
      </x:c>
      <x:c r="H49" s="707"/>
      <x:c r="I49" s="358">
        <x:f>数据导入!G17</x:f>
      </x:c>
      <x:c r="J49" s="358"/>
      <x:c r="K49" s="359"/>
      <x:c r="L49" s="362" t="s">
        <x:v>155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156</x:v>
      </x:c>
      <x:c r="B50" s="368"/>
      <x:c r="C50" s="174"/>
      <x:c r="D50" s="174"/>
      <x:c r="E50" s="175"/>
      <x:c r="F50" s="175"/>
      <x:c r="H50" s="367" t="s">
        <x:v>157</x:v>
      </x:c>
      <x:c r="I50" s="187"/>
      <x:c r="J50" s="187"/>
      <x:c r="K50" s="187"/>
      <x:c r="L50" s="187"/>
      <x:c r="M50" s="367" t="s">
        <x:v>158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159</x:v>
      </x:c>
      <x:c r="D51" s="177"/>
      <x:c r="F51" s="178"/>
      <x:c r="H51" s="294"/>
      <x:c r="I51" s="188" t="s">
        <x:v>88</x:v>
      </x:c>
      <x:c r="J51" s="175"/>
      <x:c r="K51" s="175"/>
      <x:c r="L51" s="175"/>
      <x:c r="M51" s="294"/>
      <x:c r="N51" s="294"/>
      <x:c r="O51" s="294"/>
      <x:c r="P51" s="189" t="s">
        <x:v>89</x:v>
      </x:c>
      <x:c r="U51" s="693"/>
      <x:c r="V51" s="693"/>
      <x:c r="W51" s="693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44"/>
  <x:sheetViews>
    <x:sheetView topLeftCell="A16" zoomScalePageLayoutView="400" workbookViewId="0">
      <x:selection activeCell="K35" sqref="K35"/>
    </x:sheetView>
  </x:sheetViews>
  <x:sheetFormatPr defaultColWidth="8.932847" defaultRowHeight="15.6" x14ac:dyDescent="0.25"/>
  <x:cols>
    <x:col min="1" max="1" width="3.199219" style="0" customWidth="1"/>
    <x:col min="2" max="4" width="8.932847" style="0" customWidth="1"/>
    <x:col min="5" max="5" width="11" style="0" customWidth="1"/>
    <x:col min="6" max="6" width="13.898438" style="0" customWidth="1"/>
    <x:col min="7" max="9" width="8.932847" style="0" customWidth="1"/>
    <x:col min="10" max="10" width="0.097656" style="0" customWidth="1"/>
  </x:cols>
  <x:sheetData>
    <x:row r="1" spans="1:14" ht="14.25" customHeight="1" x14ac:dyDescent="0.25">
      <x:c r="A1" s="122"/>
      <x:c r="B1" s="122"/>
      <x:c r="C1" s="123"/>
      <x:c r="D1" s="124"/>
      <x:c r="E1" s="124"/>
      <x:c r="F1" s="578" t="s">
        <x:v>160</x:v>
      </x:c>
      <x:c r="G1" s="578"/>
      <x:c r="H1" s="579">
        <x:f>IF(数据导入!V2="","",数据导入!V2)</x:f>
      </x:c>
      <x:c r="I1" s="579"/>
      <x:c r="J1" s="579"/>
    </x:row>
    <x:row r="2" spans="1:14" x14ac:dyDescent="0.25">
      <x:c r="A2" s="122"/>
      <x:c r="B2" s="122"/>
      <x:c r="C2" s="123"/>
      <x:c r="D2" s="124"/>
      <x:c r="E2" s="124"/>
      <x:c r="F2" s="125" t="s">
        <x:v>92</x:v>
      </x:c>
      <x:c r="G2" s="125"/>
      <x:c r="H2" s="125"/>
      <x:c r="I2" s="125"/>
      <x:c r="J2" s="125"/>
      <x:c r="K2" s="143"/>
      <x:c r="L2" s="143"/>
      <x:c r="M2" s="143"/>
      <x:c r="N2" s="143"/>
    </x:row>
    <x:row r="3" spans="1:14" ht="24.75" customHeight="1" x14ac:dyDescent="0.25">
      <x:c r="A3" s="122"/>
      <x:c r="B3" s="122"/>
      <x:c r="C3" s="123"/>
      <x:c r="D3" s="124"/>
      <x:c r="E3" s="124"/>
      <x:c r="F3" s="125"/>
      <x:c r="G3" s="125"/>
      <x:c r="H3" s="125"/>
      <x:c r="I3" s="125"/>
      <x:c r="J3" s="125"/>
      <x:c r="K3" s="143"/>
      <x:c r="L3" s="143"/>
      <x:c r="M3" s="143"/>
      <x:c r="N3" s="143"/>
    </x:row>
    <x:row r="4" spans="1:14" ht="28.2" customHeight="1" x14ac:dyDescent="0.25">
      <x:c r="A4" s="126" t="s">
        <x:v>161</x:v>
      </x:c>
      <x:c r="B4" s="126"/>
      <x:c r="C4" s="126"/>
      <x:c r="D4" s="126"/>
      <x:c r="E4" s="126"/>
      <x:c r="F4" s="126"/>
      <x:c r="G4" s="126"/>
      <x:c r="H4" s="126"/>
      <x:c r="I4" s="126"/>
      <x:c r="J4" s="126"/>
    </x:row>
    <x:row r="5" spans="1:14" ht="19.2" customHeight="1" x14ac:dyDescent="0.25">
      <x:c r="A5" s="127" t="s">
        <x:v>162</x:v>
      </x:c>
      <x:c r="B5" s="127"/>
      <x:c r="C5" s="127"/>
      <x:c r="D5" s="127"/>
      <x:c r="E5" s="127"/>
      <x:c r="F5" s="127"/>
      <x:c r="G5" s="127"/>
      <x:c r="H5" s="127"/>
      <x:c r="I5" s="127"/>
      <x:c r="J5" s="127"/>
    </x:row>
    <x:row r="6" spans="1:14" x14ac:dyDescent="0.25">
      <x:c r="A6" s="128"/>
      <x:c r="B6" s="129"/>
      <x:c r="C6" s="129"/>
      <x:c r="D6" s="129"/>
      <x:c r="E6" s="129"/>
      <x:c r="F6" s="129"/>
      <x:c r="G6" s="129"/>
      <x:c r="H6" s="129"/>
      <x:c r="I6" s="129"/>
      <x:c r="J6" s="129"/>
    </x:row>
    <x:row r="7" spans="1:14" x14ac:dyDescent="0.25">
      <x:c r="A7" s="128"/>
      <x:c r="B7" s="129"/>
      <x:c r="C7" s="129"/>
      <x:c r="D7" s="129"/>
      <x:c r="E7" s="129"/>
      <x:c r="F7" s="129"/>
      <x:c r="G7" s="129"/>
      <x:c r="H7" s="129"/>
      <x:c r="I7" s="129"/>
      <x:c r="J7" s="129"/>
    </x:row>
    <x:row r="8" spans="1:14" x14ac:dyDescent="0.25">
      <x:c r="A8" s="129"/>
      <x:c r="B8" s="130" t="s">
        <x:v>163</x:v>
      </x:c>
      <x:c r="C8" s="130"/>
      <x:c r="D8" s="130"/>
      <x:c r="E8" s="130"/>
      <x:c r="F8" s="130"/>
      <x:c r="G8" s="130"/>
      <x:c r="H8" s="130"/>
      <x:c r="I8" s="130"/>
      <x:c r="J8" s="130"/>
    </x:row>
    <x:row r="9" spans="1:14" x14ac:dyDescent="0.25">
      <x:c r="A9" s="129"/>
      <x:c r="B9" s="131" t="s">
        <x:v>164</x:v>
      </x:c>
      <x:c r="C9" s="131"/>
      <x:c r="D9" s="131"/>
      <x:c r="E9" s="131"/>
      <x:c r="F9" s="131"/>
      <x:c r="G9" s="131"/>
      <x:c r="H9" s="131"/>
      <x:c r="I9" s="131"/>
      <x:c r="J9" s="131"/>
    </x:row>
    <x:row r="10" spans="1:14" x14ac:dyDescent="0.25">
      <x:c r="A10" s="129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spans="1:14" x14ac:dyDescent="0.25">
      <x:c r="A11" s="129"/>
      <x:c r="B11" s="130" t="s">
        <x:v>165</x:v>
      </x:c>
      <x:c r="C11" s="130"/>
      <x:c r="D11" s="130"/>
      <x:c r="E11" s="130"/>
      <x:c r="F11" s="130"/>
      <x:c r="G11" s="130"/>
      <x:c r="H11" s="130"/>
      <x:c r="I11" s="130"/>
      <x:c r="J11" s="130"/>
    </x:row>
    <x:row r="12" spans="1:14" x14ac:dyDescent="0.25">
      <x:c r="A12" s="129"/>
      <x:c r="B12" s="132" t="s">
        <x:v>166</x:v>
      </x:c>
      <x:c r="C12" s="132"/>
      <x:c r="D12" s="132"/>
      <x:c r="E12" s="132"/>
      <x:c r="F12" s="132"/>
      <x:c r="G12" s="132"/>
      <x:c r="H12" s="132"/>
      <x:c r="I12" s="132"/>
      <x:c r="J12" s="132"/>
    </x:row>
    <x:row r="13" spans="1:14" x14ac:dyDescent="0.25">
      <x:c r="A13" s="129"/>
      <x:c r="B13" s="133"/>
      <x:c r="C13" s="133"/>
      <x:c r="D13" s="133"/>
      <x:c r="E13" s="133"/>
      <x:c r="F13" s="133"/>
      <x:c r="G13" s="133"/>
      <x:c r="H13" s="133"/>
      <x:c r="I13" s="133"/>
      <x:c r="J13" s="133"/>
    </x:row>
    <x:row r="14" spans="1:14" x14ac:dyDescent="0.25">
      <x:c r="A14" s="129"/>
      <x:c r="B14" s="130" t="s">
        <x:v>167</x:v>
      </x:c>
      <x:c r="C14" s="130"/>
      <x:c r="D14" s="130"/>
      <x:c r="E14" s="130"/>
      <x:c r="F14" s="130"/>
      <x:c r="G14" s="130"/>
      <x:c r="H14" s="130"/>
      <x:c r="I14" s="130"/>
      <x:c r="J14" s="130"/>
    </x:row>
    <x:row r="15" spans="1:14" x14ac:dyDescent="0.25">
      <x:c r="A15" s="129"/>
      <x:c r="B15" s="134" t="s">
        <x:v>168</x:v>
      </x:c>
      <x:c r="C15" s="134"/>
      <x:c r="D15" s="134"/>
      <x:c r="E15" s="134"/>
      <x:c r="F15" s="134"/>
      <x:c r="G15" s="134"/>
      <x:c r="H15" s="134"/>
      <x:c r="I15" s="134"/>
      <x:c r="J15" s="134"/>
    </x:row>
    <x:row r="16" spans="1:14" x14ac:dyDescent="0.25">
      <x:c r="A16" s="129"/>
      <x:c r="B16" s="133"/>
      <x:c r="C16" s="133"/>
      <x:c r="D16" s="133"/>
      <x:c r="E16" s="133"/>
      <x:c r="F16" s="133"/>
      <x:c r="G16" s="133"/>
      <x:c r="H16" s="133"/>
      <x:c r="I16" s="133"/>
      <x:c r="J16" s="133"/>
    </x:row>
    <x:row r="17" spans="1:14" x14ac:dyDescent="0.25">
      <x:c r="A17" s="129"/>
      <x:c r="B17" s="130" t="s">
        <x:v>169</x:v>
      </x:c>
      <x:c r="C17" s="130"/>
      <x:c r="D17" s="130"/>
      <x:c r="E17" s="130"/>
      <x:c r="F17" s="130"/>
      <x:c r="G17" s="130"/>
      <x:c r="H17" s="130"/>
      <x:c r="I17" s="130"/>
      <x:c r="J17" s="130"/>
    </x:row>
    <x:row r="18" spans="1:14" x14ac:dyDescent="0.25">
      <x:c r="A18" s="129"/>
      <x:c r="B18" s="134" t="s">
        <x:v>170</x:v>
      </x:c>
      <x:c r="C18" s="134"/>
      <x:c r="D18" s="134"/>
      <x:c r="E18" s="134"/>
      <x:c r="F18" s="134"/>
      <x:c r="G18" s="134"/>
      <x:c r="H18" s="134"/>
      <x:c r="I18" s="134"/>
      <x:c r="J18" s="134"/>
    </x:row>
    <x:row r="19" spans="1:14" x14ac:dyDescent="0.25">
      <x:c r="A19" s="129"/>
      <x:c r="B19" s="129"/>
      <x:c r="C19" s="131"/>
      <x:c r="D19" s="131"/>
      <x:c r="E19" s="131"/>
      <x:c r="F19" s="131"/>
      <x:c r="G19" s="131"/>
      <x:c r="H19" s="131"/>
      <x:c r="I19" s="131"/>
      <x:c r="J19" s="131"/>
    </x:row>
    <x:row r="20" spans="1:14" x14ac:dyDescent="0.25">
      <x:c r="A20" s="129"/>
      <x:c r="B20" s="130" t="s">
        <x:v>171</x:v>
      </x:c>
      <x:c r="C20" s="130"/>
      <x:c r="D20" s="130"/>
      <x:c r="E20" s="130"/>
      <x:c r="F20" s="130"/>
      <x:c r="G20" s="130"/>
      <x:c r="H20" s="130"/>
      <x:c r="I20" s="130"/>
      <x:c r="J20" s="130"/>
    </x:row>
    <x:row r="21" spans="1:14" ht="29.25" customHeight="1" x14ac:dyDescent="0.25">
      <x:c r="A21" s="129"/>
      <x:c r="B21" s="577" t="s">
        <x:v>172</x:v>
      </x:c>
      <x:c r="C21" s="577"/>
      <x:c r="D21" s="577"/>
      <x:c r="E21" s="577"/>
      <x:c r="F21" s="577"/>
      <x:c r="G21" s="577"/>
      <x:c r="H21" s="577"/>
      <x:c r="I21" s="577"/>
      <x:c r="J21" s="577"/>
    </x:row>
    <x:row r="22" spans="1:14" x14ac:dyDescent="0.25">
      <x:c r="A22" s="129"/>
      <x:c r="B22" s="129"/>
      <x:c r="C22" s="135"/>
      <x:c r="D22" s="135"/>
      <x:c r="E22" s="135"/>
      <x:c r="F22" s="135"/>
      <x:c r="G22" s="135"/>
      <x:c r="H22" s="135"/>
      <x:c r="I22" s="135"/>
      <x:c r="J22" s="135"/>
    </x:row>
    <x:row r="23" spans="1:14" x14ac:dyDescent="0.25">
      <x:c r="A23" s="129"/>
      <x:c r="B23" s="130" t="s">
        <x:v>173</x:v>
      </x:c>
      <x:c r="C23" s="130"/>
      <x:c r="D23" s="130"/>
      <x:c r="E23" s="130"/>
      <x:c r="F23" s="130"/>
      <x:c r="G23" s="130"/>
      <x:c r="H23" s="130"/>
      <x:c r="I23" s="130"/>
      <x:c r="J23" s="130"/>
    </x:row>
    <x:row r="24" spans="1:14" x14ac:dyDescent="0.25">
      <x:c r="A24" s="129"/>
      <x:c r="B24" s="134" t="s">
        <x:v>174</x:v>
      </x:c>
      <x:c r="C24" s="134"/>
      <x:c r="D24" s="134"/>
      <x:c r="E24" s="134"/>
      <x:c r="F24" s="134"/>
      <x:c r="G24" s="134"/>
      <x:c r="H24" s="134"/>
      <x:c r="I24" s="134"/>
      <x:c r="J24" s="134"/>
    </x:row>
    <x:row r="25" spans="1:14" x14ac:dyDescent="0.25">
      <x:c r="A25" s="129"/>
      <x:c r="B25" s="134"/>
      <x:c r="C25" s="134"/>
      <x:c r="D25" s="134"/>
      <x:c r="E25" s="134"/>
      <x:c r="F25" s="134"/>
      <x:c r="G25" s="134"/>
      <x:c r="H25" s="134"/>
      <x:c r="I25" s="134"/>
      <x:c r="J25" s="134"/>
    </x:row>
    <x:row r="26" spans="1:14" x14ac:dyDescent="0.25">
      <x:c r="A26" s="129"/>
      <x:c r="B26" s="130" t="s">
        <x:v>175</x:v>
      </x:c>
      <x:c r="C26" s="130"/>
      <x:c r="D26" s="130"/>
      <x:c r="E26" s="130"/>
      <x:c r="F26" s="130"/>
      <x:c r="G26" s="130"/>
      <x:c r="H26" s="130"/>
      <x:c r="I26" s="130"/>
      <x:c r="J26" s="130"/>
    </x:row>
    <x:row r="27" spans="1:14" ht="29.25" customHeight="1" x14ac:dyDescent="0.25">
      <x:c r="A27" s="129"/>
      <x:c r="B27" s="577" t="s">
        <x:v>176</x:v>
      </x:c>
      <x:c r="C27" s="577"/>
      <x:c r="D27" s="577"/>
      <x:c r="E27" s="577"/>
      <x:c r="F27" s="577"/>
      <x:c r="G27" s="577"/>
      <x:c r="H27" s="577"/>
      <x:c r="I27" s="577"/>
      <x:c r="J27" s="577"/>
    </x:row>
    <x:row r="28" spans="1:14" x14ac:dyDescent="0.25">
      <x:c r="A28" s="136"/>
      <x:c r="B28" s="129"/>
      <x:c r="C28" s="129"/>
      <x:c r="D28" s="129"/>
      <x:c r="E28" s="129"/>
      <x:c r="F28" s="129"/>
      <x:c r="G28" s="129"/>
      <x:c r="H28" s="129"/>
      <x:c r="I28" s="129"/>
      <x:c r="J28" s="129"/>
    </x:row>
    <x:row r="29" spans="1:14" ht="29.25" customHeight="1" x14ac:dyDescent="0.25">
      <x:c r="A29" s="136"/>
      <x:c r="B29" s="573" t="s">
        <x:v>177</x:v>
      </x:c>
      <x:c r="C29" s="573"/>
      <x:c r="D29" s="573"/>
      <x:c r="E29" s="573"/>
      <x:c r="F29" s="573"/>
      <x:c r="G29" s="573"/>
      <x:c r="H29" s="573"/>
      <x:c r="I29" s="573"/>
      <x:c r="J29" s="144"/>
      <x:c r="K29" s="144"/>
      <x:c r="L29" s="144"/>
    </x:row>
    <x:row r="30" spans="1:14" ht="29.25" customHeight="1" x14ac:dyDescent="0.25">
      <x:c r="A30" s="137"/>
      <x:c r="B30" s="574" t="s">
        <x:v>178</x:v>
      </x:c>
      <x:c r="C30" s="574"/>
      <x:c r="D30" s="574"/>
      <x:c r="E30" s="574"/>
      <x:c r="F30" s="574"/>
      <x:c r="G30" s="574"/>
      <x:c r="H30" s="574"/>
      <x:c r="I30" s="574"/>
      <x:c r="J30" s="145"/>
      <x:c r="K30" s="145"/>
      <x:c r="L30" s="145"/>
    </x:row>
    <x:row r="31" spans="1:14" x14ac:dyDescent="0.25">
      <x:c r="A31" s="137"/>
      <x:c r="B31" s="709"/>
      <x:c r="C31" s="709"/>
      <x:c r="D31" s="709"/>
      <x:c r="E31" s="709"/>
      <x:c r="F31" s="709"/>
      <x:c r="G31" s="709"/>
      <x:c r="H31" s="709"/>
      <x:c r="I31" s="709"/>
      <x:c r="J31" s="709"/>
      <x:c r="K31" s="709"/>
      <x:c r="L31" s="709"/>
    </x:row>
    <x:row r="32" spans="1:14" x14ac:dyDescent="0.25">
      <x:c r="A32" s="137"/>
      <x:c r="B32" s="129"/>
      <x:c r="C32" s="129"/>
      <x:c r="D32" s="129"/>
      <x:c r="E32" s="129"/>
      <x:c r="F32" s="129"/>
      <x:c r="G32" s="129"/>
      <x:c r="H32" s="129"/>
      <x:c r="I32" s="129"/>
      <x:c r="J32" s="129"/>
    </x:row>
    <x:row r="33" spans="1:14" x14ac:dyDescent="0.25">
      <x:c r="A33" s="137"/>
      <x:c r="B33" s="129"/>
      <x:c r="C33" s="129"/>
      <x:c r="D33" s="129"/>
      <x:c r="E33" s="129"/>
      <x:c r="F33" s="129"/>
      <x:c r="G33" s="129"/>
      <x:c r="H33" s="129"/>
      <x:c r="I33" s="129"/>
      <x:c r="J33" s="129"/>
    </x:row>
    <x:row r="34" spans="1:14" x14ac:dyDescent="0.25">
      <x:c r="A34" s="137"/>
      <x:c r="B34" s="129"/>
      <x:c r="C34" s="129"/>
      <x:c r="D34" s="129"/>
      <x:c r="E34" s="129"/>
      <x:c r="F34" s="129"/>
      <x:c r="G34" s="129"/>
      <x:c r="H34" s="129"/>
      <x:c r="I34" s="129"/>
      <x:c r="J34" s="129"/>
    </x:row>
    <x:row r="35" spans="1:14" x14ac:dyDescent="0.25">
      <x:c r="A35" s="137"/>
      <x:c r="B35" s="129"/>
      <x:c r="C35" s="129"/>
      <x:c r="D35" s="129"/>
      <x:c r="E35" s="129"/>
      <x:c r="F35" s="129"/>
      <x:c r="G35" s="129"/>
      <x:c r="H35" s="129"/>
      <x:c r="I35" s="129"/>
      <x:c r="J35" s="129"/>
    </x:row>
    <x:row r="36" spans="1:14" x14ac:dyDescent="0.25">
      <x:c r="A36" s="136"/>
      <x:c r="B36" s="129"/>
      <x:c r="C36" s="129"/>
      <x:c r="D36" s="129"/>
      <x:c r="E36" s="129"/>
      <x:c r="F36" s="129"/>
      <x:c r="G36" s="129"/>
      <x:c r="H36" s="129"/>
      <x:c r="I36" s="129"/>
      <x:c r="J36" s="129"/>
    </x:row>
    <x:row r="37" spans="1:14" x14ac:dyDescent="0.25">
      <x:c r="A37" s="136"/>
      <x:c r="B37" s="129"/>
      <x:c r="C37" s="129"/>
      <x:c r="D37" s="129"/>
      <x:c r="E37" s="129"/>
      <x:c r="F37" s="129"/>
      <x:c r="G37" s="129"/>
      <x:c r="H37" s="129"/>
      <x:c r="I37" s="129"/>
      <x:c r="J37" s="129"/>
    </x:row>
    <x:row r="38" spans="1:14" x14ac:dyDescent="0.25">
      <x:c r="A38" s="136"/>
      <x:c r="B38" s="129"/>
      <x:c r="C38" s="129"/>
      <x:c r="D38" s="129"/>
      <x:c r="E38" s="129"/>
      <x:c r="F38" s="129"/>
      <x:c r="G38" s="129"/>
      <x:c r="H38" s="129"/>
      <x:c r="I38" s="129"/>
      <x:c r="J38" s="129"/>
    </x:row>
    <x:row r="39" spans="1:14" x14ac:dyDescent="0.25">
      <x:c r="A39" s="129"/>
      <x:c r="B39" s="139">
        <x:f>IFERROR(IF(FIND(数据导入!AH26,数据导入!AI13),"   " &amp;数据导入!AI27),   "   " &amp; 数据导入!AI35)</x:f>
      </x:c>
      <x:c r="C39" s="139"/>
      <x:c r="D39" s="139"/>
      <x:c r="E39" s="139"/>
      <x:c r="F39" s="139"/>
      <x:c r="G39" s="139"/>
      <x:c r="H39" s="139"/>
      <x:c r="I39" s="139"/>
      <x:c r="J39" s="139"/>
    </x:row>
    <x:row r="40" spans="1:14" x14ac:dyDescent="0.25">
      <x:c r="A40" s="129"/>
      <x:c r="B40" s="140">
        <x:f>IFERROR(IF(FIND(数据导入!AH26,数据导入!AI13),"   " &amp;数据导入!AI31),   "   " &amp; 数据导入!AI38)</x:f>
      </x:c>
      <x:c r="C40" s="140"/>
      <x:c r="D40" s="140"/>
      <x:c r="E40" s="140"/>
      <x:c r="F40" s="140"/>
      <x:c r="G40" s="140"/>
      <x:c r="H40" s="140"/>
      <x:c r="I40" s="140"/>
      <x:c r="J40" s="139"/>
    </x:row>
    <x:row r="41" spans="1:14" x14ac:dyDescent="0.25">
      <x:c r="A41" s="141"/>
      <x:c r="B41" s="140"/>
      <x:c r="C41" s="140"/>
      <x:c r="D41" s="140"/>
      <x:c r="E41" s="140"/>
      <x:c r="F41" s="140"/>
      <x:c r="G41" s="140"/>
      <x:c r="H41" s="140"/>
      <x:c r="I41" s="146"/>
      <x:c r="J41" s="146"/>
    </x:row>
    <x:row r="42" spans="1:14" x14ac:dyDescent="0.25">
      <x:c r="A42" s="129"/>
      <x:c r="B42" s="142" t="s">
        <x:v>179</x:v>
      </x:c>
      <x:c r="C42" s="142"/>
      <x:c r="D42" s="142"/>
      <x:c r="E42" s="142"/>
      <x:c r="F42" s="142"/>
      <x:c r="G42" s="142"/>
      <x:c r="H42" s="142"/>
      <x:c r="I42" s="147"/>
      <x:c r="J42" s="147"/>
    </x:row>
    <x:row r="43" spans="1:14" x14ac:dyDescent="0.25">
      <x:c r="A43" s="129"/>
      <x:c r="B43" s="142" t="s">
        <x:v>180</x:v>
      </x:c>
      <x:c r="C43" s="142"/>
      <x:c r="D43" s="142"/>
      <x:c r="E43" s="142"/>
      <x:c r="F43" s="142"/>
      <x:c r="G43" s="142"/>
      <x:c r="H43" s="142"/>
      <x:c r="I43" s="148"/>
      <x:c r="J43" s="148"/>
    </x:row>
    <x:row r="44" spans="1:14" x14ac:dyDescent="0.25">
      <x:c r="A44" s="129"/>
      <x:c r="B44" s="142" t="s">
        <x:v>181</x:v>
      </x:c>
      <x:c r="C44" s="142"/>
      <x:c r="D44" s="142"/>
      <x:c r="E44" s="142"/>
      <x:c r="F44" s="142"/>
      <x:c r="G44" s="142"/>
      <x:c r="H44" s="142"/>
      <x:c r="I44" s="147"/>
      <x:c r="J44" s="147"/>
    </x:row>
  </x:sheetData>
  <x:mergeCells count="13">
    <x:mergeCell ref="F1:G1"/>
    <x:mergeCell ref="H1:J1"/>
    <x:mergeCell ref="A4:I4"/>
    <x:mergeCell ref="A5:I5"/>
    <x:mergeCell ref="B9:J9"/>
    <x:mergeCell ref="B15:J15"/>
    <x:mergeCell ref="B18:J18"/>
    <x:mergeCell ref="B21:J21"/>
    <x:mergeCell ref="B24:J24"/>
    <x:mergeCell ref="B27:J27"/>
    <x:mergeCell ref="B29:I29"/>
    <x:mergeCell ref="B30:I30"/>
    <x:mergeCell ref="B40:I40"/>
  </x:mergeCells>
  <x:phoneticPr fontId="127" type="noConversion"/>
  <x:printOptions horizontalCentered="0" verticalCentered="0" headings="0" gridLines="0"/>
  <x:pageMargins left="0.73" right="0.48" top="0.42" bottom="0.42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10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10" customWidth="1"/>
    <x:col min="32" max="32" width="9" style="1" customWidth="1"/>
    <x:col min="33" max="33" width="3.199219" style="710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11"/>
      <x:c r="J1" s="35" t="s">
        <x:v>182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2"/>
      <x:c r="AF1" s="11"/>
      <x:c r="AG1" s="712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11"/>
      <x:c r="J2" s="682" t="s">
        <x:v>183</x:v>
      </x:c>
      <x:c r="K2" s="683"/>
      <x:c r="L2" s="684" t="s">
        <x:v>184</x:v>
      </x:c>
      <x:c r="M2" s="685"/>
      <x:c r="N2" s="685"/>
      <x:c r="O2" s="685"/>
      <x:c r="P2" s="36" t="s">
        <x:v>185</x:v>
      </x:c>
      <x:c r="Q2" s="685" t="s">
        <x:v>186</x:v>
      </x:c>
      <x:c r="R2" s="687"/>
      <x:c r="S2" s="687"/>
      <x:c r="T2" s="683" t="s">
        <x:v>187</x:v>
      </x:c>
      <x:c r="U2" s="683"/>
      <x:c r="V2" s="688" t="s">
        <x:v>188</x:v>
      </x:c>
      <x:c r="W2" s="689"/>
      <x:c r="X2" s="689"/>
      <x:c r="Y2" s="683" t="s">
        <x:v>189</x:v>
      </x:c>
      <x:c r="Z2" s="683"/>
      <x:c r="AA2" s="87">
        <x:v>2</x:v>
      </x:c>
      <x:c r="AB2" s="88" t="s">
        <x:v>104</x:v>
      </x:c>
      <x:c r="AC2" s="89" t="s">
        <x:v>190</x:v>
      </x:c>
      <x:c r="AD2" s="90" t="s">
        <x:v>191</x:v>
      </x:c>
      <x:c r="AE2" s="712"/>
      <x:c r="AF2" s="23">
        <x:f>ROUND(Q4/0.735,1)</x:f>
      </x:c>
      <x:c r="AG2" s="712"/>
      <x:c r="AH2" s="23" t="s">
        <x:v>192</x:v>
      </x:c>
      <x:c r="AI2" s="23"/>
      <x:c r="AJ2" s="101" t="s">
        <x:v>193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11"/>
      <x:c r="J3" s="667" t="s">
        <x:v>194</x:v>
      </x:c>
      <x:c r="K3" s="37"/>
      <x:c r="L3" s="664">
        <x:v>1</x:v>
      </x:c>
      <x:c r="M3" s="665"/>
      <x:c r="N3" s="70" t="s">
        <x:v>195</x:v>
      </x:c>
      <x:c r="O3" s="70"/>
      <x:c r="P3" s="37" t="s">
        <x:v>196</x:v>
      </x:c>
      <x:c r="Q3" s="69">
        <x:v>0</x:v>
      </x:c>
      <x:c r="R3" s="70" t="s">
        <x:v>39</x:v>
      </x:c>
      <x:c r="S3" s="671"/>
      <x:c r="T3" s="37" t="s">
        <x:v>197</x:v>
      </x:c>
      <x:c r="U3" s="37"/>
      <x:c r="V3" s="664">
        <x:v>0</x:v>
      </x:c>
      <x:c r="W3" s="665"/>
      <x:c r="X3" s="71" t="s">
        <x:v>104</x:v>
      </x:c>
      <x:c r="Y3" s="37" t="s">
        <x:v>198</x:v>
      </x:c>
      <x:c r="Z3" s="37"/>
      <x:c r="AA3" s="673" t="s">
        <x:v>199</x:v>
      </x:c>
      <x:c r="AB3" s="690"/>
      <x:c r="AC3" s="690"/>
      <x:c r="AD3" s="691"/>
      <x:c r="AE3" s="712"/>
      <x:c r="AF3" s="23"/>
      <x:c r="AG3" s="712"/>
      <x:c r="AH3" s="11" t="s">
        <x:v>193</x:v>
      </x:c>
      <x:c r="AI3" s="11" t="s">
        <x:v>200</x:v>
      </x:c>
      <x:c r="AJ3" s="101" t="s">
        <x:v>201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202</x:v>
      </x:c>
      <x:c r="G4" s="16"/>
      <x:c r="H4" s="17" t="s">
        <x:v>203</x:v>
      </x:c>
      <x:c r="I4" s="711"/>
      <x:c r="J4" s="667" t="s">
        <x:v>204</x:v>
      </x:c>
      <x:c r="K4" s="37"/>
      <x:c r="L4" s="664">
        <x:v>19</x:v>
      </x:c>
      <x:c r="M4" s="665"/>
      <x:c r="N4" s="70" t="s">
        <x:v>104</x:v>
      </x:c>
      <x:c r="O4" s="70"/>
      <x:c r="P4" s="37" t="s">
        <x:v>205</x:v>
      </x:c>
      <x:c r="Q4" s="69">
        <x:v>0.370000004768372</x:v>
      </x:c>
      <x:c r="R4" s="70" t="s">
        <x:v>108</x:v>
      </x:c>
      <x:c r="S4" s="671" t="s">
        <x:v>108</x:v>
      </x:c>
      <x:c r="T4" s="38" t="s">
        <x:v>206</x:v>
      </x:c>
      <x:c r="U4" s="38"/>
      <x:c r="V4" s="664">
        <x:v>0</x:v>
      </x:c>
      <x:c r="W4" s="665"/>
      <x:c r="X4" s="70" t="s">
        <x:v>104</x:v>
      </x:c>
      <x:c r="Y4" s="37" t="s">
        <x:v>207</x:v>
      </x:c>
      <x:c r="Z4" s="37"/>
      <x:c r="AA4" s="673" t="s">
        <x:v>208</x:v>
      </x:c>
      <x:c r="AB4" s="69"/>
      <x:c r="AC4" s="69"/>
      <x:c r="AD4" s="675"/>
      <x:c r="AE4" s="712"/>
      <x:c r="AF4" s="23"/>
      <x:c r="AG4" s="712"/>
      <x:c r="AH4" s="11" t="s">
        <x:v>201</x:v>
      </x:c>
      <x:c r="AI4" s="17" t="s">
        <x:v>209</x:v>
      </x:c>
      <x:c r="AJ4" s="101" t="s">
        <x:v>210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211</x:v>
      </x:c>
      <x:c r="G5" s="18">
        <x:v>0.62</x:v>
      </x:c>
      <x:c r="H5" s="17" t="s">
        <x:v>203</x:v>
      </x:c>
      <x:c r="I5" s="711"/>
      <x:c r="J5" s="667" t="s">
        <x:v>212</x:v>
      </x:c>
      <x:c r="K5" s="37"/>
      <x:c r="L5" s="664">
        <x:v>2900</x:v>
      </x:c>
      <x:c r="M5" s="665"/>
      <x:c r="N5" s="70" t="s">
        <x:v>110</x:v>
      </x:c>
      <x:c r="O5" s="70"/>
      <x:c r="P5" s="38" t="s">
        <x:v>213</x:v>
      </x:c>
      <x:c r="Q5" s="72">
        <x:v>0.101000003516674</x:v>
      </x:c>
      <x:c r="R5" s="70" t="s">
        <x:v>214</x:v>
      </x:c>
      <x:c r="S5" s="70"/>
      <x:c r="T5" s="38" t="s">
        <x:v>215</x:v>
      </x:c>
      <x:c r="U5" s="38"/>
      <x:c r="V5" s="676">
        <x:v>0</x:v>
      </x:c>
      <x:c r="W5" s="677"/>
      <x:c r="X5" s="71" t="s">
        <x:v>118</x:v>
      </x:c>
      <x:c r="Y5" s="37" t="s">
        <x:v>216</x:v>
      </x:c>
      <x:c r="Z5" s="37"/>
      <x:c r="AA5" s="677">
        <x:v>23</x:v>
      </x:c>
      <x:c r="AB5" s="677"/>
      <x:c r="AC5" s="70" t="s">
        <x:v>112</x:v>
      </x:c>
      <x:c r="AD5" s="680"/>
      <x:c r="AE5" s="712"/>
      <x:c r="AF5" s="23"/>
      <x:c r="AG5" s="712"/>
      <x:c r="AH5" s="11" t="s">
        <x:v>210</x:v>
      </x:c>
      <x:c r="AI5" s="17" t="s">
        <x:v>217</x:v>
      </x:c>
      <x:c r="AJ5" s="101" t="s">
        <x:v>218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219</x:v>
      </x:c>
      <x:c r="G6" s="16"/>
      <x:c r="H6" s="17" t="s">
        <x:v>203</x:v>
      </x:c>
      <x:c r="I6" s="711"/>
      <x:c r="J6" s="657" t="s">
        <x:v>220</x:v>
      </x:c>
      <x:c r="K6" s="658"/>
      <x:c r="L6" s="659">
        <x:v>380</x:v>
      </x:c>
      <x:c r="M6" s="39"/>
      <x:c r="N6" s="661" t="s">
        <x:v>221</x:v>
      </x:c>
      <x:c r="O6" s="661"/>
      <x:c r="P6" s="40" t="s">
        <x:v>222</x:v>
      </x:c>
      <x:c r="Q6" s="39">
        <x:v>50</x:v>
      </x:c>
      <x:c r="R6" s="661" t="s">
        <x:v>223</x:v>
      </x:c>
      <x:c r="S6" s="662"/>
      <x:c r="T6" s="38" t="s">
        <x:v>224</x:v>
      </x:c>
      <x:c r="U6" s="38"/>
      <x:c r="V6" s="664">
        <x:v>25</x:v>
      </x:c>
      <x:c r="W6" s="665"/>
      <x:c r="X6" s="70" t="s">
        <x:v>112</x:v>
      </x:c>
      <x:c r="Y6" s="38" t="s">
        <x:v>225</x:v>
      </x:c>
      <x:c r="Z6" s="38"/>
      <x:c r="AA6" s="664">
        <x:v>25</x:v>
      </x:c>
      <x:c r="AB6" s="665"/>
      <x:c r="AC6" s="661" t="s">
        <x:v>112</x:v>
      </x:c>
      <x:c r="AD6" s="666"/>
      <x:c r="AE6" s="712"/>
      <x:c r="AF6" s="23"/>
      <x:c r="AG6" s="712"/>
      <x:c r="AH6" s="11" t="s">
        <x:v>218</x:v>
      </x:c>
      <x:c r="AI6" s="17" t="s">
        <x:v>226</x:v>
      </x:c>
      <x:c r="AJ6" s="101" t="s">
        <x:v>227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228</x:v>
      </x:c>
      <x:c r="G7" s="18">
        <x:v>18.411</x:v>
      </x:c>
      <x:c r="H7" s="17" t="s">
        <x:v>104</x:v>
      </x:c>
      <x:c r="I7" s="711"/>
      <x:c r="J7" s="41" t="s">
        <x:v>229</x:v>
      </x:c>
      <x:c r="K7" s="621" t="s">
        <x:v>230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231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2"/>
      <x:c r="AF7" s="23"/>
      <x:c r="AG7" s="712"/>
      <x:c r="AH7" s="11" t="s">
        <x:v>227</x:v>
      </x:c>
      <x:c r="AI7" s="17" t="s">
        <x:v>232</x:v>
      </x:c>
      <x:c r="AJ7" s="101" t="s">
        <x:v>233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234</x:v>
      </x:c>
      <x:c r="G8" s="20">
        <x:v>28.74</x:v>
      </x:c>
      <x:c r="H8" s="17" t="s">
        <x:v>39</x:v>
      </x:c>
      <x:c r="I8" s="711"/>
      <x:c r="J8" s="603"/>
      <x:c r="K8" s="42" t="s">
        <x:v>235</x:v>
      </x:c>
      <x:c r="L8" s="43" t="s">
        <x:v>236</x:v>
      </x:c>
      <x:c r="M8" s="42" t="s">
        <x:v>237</x:v>
      </x:c>
      <x:c r="N8" s="43" t="s">
        <x:v>238</x:v>
      </x:c>
      <x:c r="O8" s="42" t="s">
        <x:v>239</x:v>
      </x:c>
      <x:c r="P8" s="43" t="s">
        <x:v>240</x:v>
      </x:c>
      <x:c r="Q8" s="42" t="s">
        <x:v>241</x:v>
      </x:c>
      <x:c r="R8" s="73" t="s">
        <x:v>242</x:v>
      </x:c>
      <x:c r="S8" s="74" t="s">
        <x:v>243</x:v>
      </x:c>
      <x:c r="T8" s="259" t="s">
        <x:v>244</x:v>
      </x:c>
      <x:c r="U8" s="260" t="s">
        <x:v>245</x:v>
      </x:c>
      <x:c r="V8" s="649" t="s">
        <x:v>236</x:v>
      </x:c>
      <x:c r="W8" s="650"/>
      <x:c r="X8" s="651" t="s">
        <x:v>246</x:v>
      </x:c>
      <x:c r="Y8" s="652"/>
      <x:c r="Z8" s="651" t="s">
        <x:v>242</x:v>
      </x:c>
      <x:c r="AA8" s="652"/>
      <x:c r="AB8" s="649" t="s">
        <x:v>247</x:v>
      </x:c>
      <x:c r="AC8" s="650"/>
      <x:c r="AD8" s="92" t="s">
        <x:v>248</x:v>
      </x:c>
      <x:c r="AE8" s="712"/>
      <x:c r="AF8" s="31" t="s">
        <x:v>236</x:v>
      </x:c>
      <x:c r="AG8" s="712"/>
      <x:c r="AH8" s="11" t="s">
        <x:v>233</x:v>
      </x:c>
      <x:c r="AI8" s="17" t="s">
        <x:v>249</x:v>
      </x:c>
      <x:c r="AJ8" s="101" t="s">
        <x:v>250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251</x:v>
      </x:c>
      <x:c r="G9" s="20">
        <x:v>0.17</x:v>
      </x:c>
      <x:c r="H9" s="23" t="s">
        <x:v>252</x:v>
      </x:c>
      <x:c r="I9" s="711"/>
      <x:c r="J9" s="604"/>
      <x:c r="K9" s="44" t="s">
        <x:v>253</x:v>
      </x:c>
      <x:c r="L9" s="45" t="s">
        <x:v>254</x:v>
      </x:c>
      <x:c r="M9" s="44" t="s">
        <x:v>255</x:v>
      </x:c>
      <x:c r="N9" s="45" t="s">
        <x:v>256</x:v>
      </x:c>
      <x:c r="O9" s="44" t="s">
        <x:v>256</x:v>
      </x:c>
      <x:c r="P9" s="45" t="s">
        <x:v>257</x:v>
      </x:c>
      <x:c r="Q9" s="44" t="s">
        <x:v>258</x:v>
      </x:c>
      <x:c r="R9" s="75" t="s">
        <x:v>259</x:v>
      </x:c>
      <x:c r="S9" s="76" t="s">
        <x:v>260</x:v>
      </x:c>
      <x:c r="T9" s="261"/>
      <x:c r="U9" s="262" t="s">
        <x:v>261</x:v>
      </x:c>
      <x:c r="V9" s="653" t="s">
        <x:v>254</x:v>
      </x:c>
      <x:c r="W9" s="654"/>
      <x:c r="X9" s="655" t="s">
        <x:v>262</x:v>
      </x:c>
      <x:c r="Y9" s="656"/>
      <x:c r="Z9" s="655" t="s">
        <x:v>262</x:v>
      </x:c>
      <x:c r="AA9" s="656"/>
      <x:c r="AB9" s="653" t="s">
        <x:v>263</x:v>
      </x:c>
      <x:c r="AC9" s="654"/>
      <x:c r="AD9" s="93" t="s">
        <x:v>263</x:v>
      </x:c>
      <x:c r="AE9" s="712"/>
      <x:c r="AF9" s="31" t="s">
        <x:v>264</x:v>
      </x:c>
      <x:c r="AG9" s="712"/>
      <x:c r="AH9" s="11" t="s">
        <x:v>250</x:v>
      </x:c>
      <x:c r="AI9" s="17" t="s">
        <x:v>265</x:v>
      </x:c>
      <x:c r="AJ9" s="101" t="s">
        <x:v>266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267</x:v>
      </x:c>
      <x:c r="G10" s="11"/>
      <x:c r="H10" s="23" t="s">
        <x:v>252</x:v>
      </x:c>
      <x:c r="I10" s="711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2"/>
      <x:c r="AF10" s="95">
        <x:f>ROUNDDOWN(V25*1.1,0)</x:f>
      </x:c>
      <x:c r="AG10" s="712"/>
      <x:c r="AH10" s="11"/>
      <x:c r="AI10" s="23"/>
      <x:c r="AJ10" s="101" t="s">
        <x:v>268</x:v>
      </x:c>
      <x:c r="AK10" s="23"/>
      <x:c r="AL10" s="23" t="s">
        <x:v>269</x:v>
      </x:c>
      <x:c r="AM10" s="23" t="s">
        <x:v>270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271</x:v>
      </x:c>
      <x:c r="G11" s="11"/>
      <x:c r="H11" s="23" t="s">
        <x:v>110</x:v>
      </x:c>
      <x:c r="I11" s="711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2"/>
      <x:c r="AF11" s="95"/>
      <x:c r="AG11" s="712"/>
      <x:c r="AH11" s="103" t="s">
        <x:v>44</x:v>
      </x:c>
      <x:c r="AI11" s="104">
        <x:f>IF(数据导入!L2="","",数据导入!L2)</x:f>
      </x:c>
      <x:c r="AJ11" s="101" t="s">
        <x:v>270</x:v>
      </x:c>
      <x:c r="AK11" s="23"/>
      <x:c r="AL11" s="105" t="s">
        <x:v>272</x:v>
      </x:c>
      <x:c r="AM11" s="106" t="s">
        <x:v>273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274</x:v>
      </x:c>
      <x:c r="G12" s="23">
        <x:v>0</x:v>
      </x:c>
      <x:c r="H12" s="12" t="s">
        <x:v>108</x:v>
      </x:c>
      <x:c r="I12" s="711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2"/>
      <x:c r="AF12" s="95"/>
      <x:c r="AG12" s="712"/>
      <x:c r="AH12" s="103" t="s">
        <x:v>275</x:v>
      </x:c>
      <x:c r="AI12" s="104">
        <x:f>IF(数据导入!AM19="","",数据导入!AM19)</x:f>
      </x:c>
      <x:c r="AJ12" s="101" t="s">
        <x:v>276</x:v>
      </x:c>
      <x:c r="AK12" s="23"/>
      <x:c r="AL12" s="107" t="s">
        <x:v>65</x:v>
      </x:c>
      <x:c r="AM12" s="108" t="s">
        <x:v>277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278</x:v>
      </x:c>
      <x:c r="G13" s="18"/>
      <x:c r="H13" s="23" t="s">
        <x:v>39</x:v>
      </x:c>
      <x:c r="I13" s="711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2"/>
      <x:c r="AF13" s="95"/>
      <x:c r="AG13" s="712"/>
      <x:c r="AH13" s="103" t="s">
        <x:v>279</x:v>
      </x:c>
      <x:c r="AI13" s="104" t="s">
        <x:v>280</x:v>
      </x:c>
      <x:c r="AJ13" s="100"/>
      <x:c r="AK13" s="23"/>
      <x:c r="AL13" s="107" t="s">
        <x:v>69</x:v>
      </x:c>
      <x:c r="AM13" s="108" t="s">
        <x:v>281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282</x:v>
      </x:c>
      <x:c r="G14" s="18"/>
      <x:c r="H14" s="23" t="s">
        <x:v>39</x:v>
      </x:c>
      <x:c r="I14" s="711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2"/>
      <x:c r="AF14" s="95"/>
      <x:c r="AG14" s="712"/>
      <x:c r="AH14" s="23" t="s">
        <x:v>190</x:v>
      </x:c>
      <x:c r="AI14" s="23" t="s">
        <x:v>191</x:v>
      </x:c>
      <x:c r="AJ14" s="100"/>
      <x:c r="AK14" s="23"/>
      <x:c r="AL14" s="107" t="s">
        <x:v>73</x:v>
      </x:c>
      <x:c r="AM14" s="108" t="s">
        <x:v>283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205</x:v>
      </x:c>
      <x:c r="G15" s="20"/>
      <x:c r="H15" s="23" t="s">
        <x:v>252</x:v>
      </x:c>
      <x:c r="I15" s="713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2"/>
      <x:c r="AF15" s="95"/>
      <x:c r="AG15" s="712"/>
      <x:c r="AH15" s="23" t="s">
        <x:v>57</x:v>
      </x:c>
      <x:c r="AI15" s="23" t="s">
        <x:v>284</x:v>
      </x:c>
      <x:c r="AJ15" s="109" t="s">
        <x:v>285</x:v>
      </x:c>
      <x:c r="AK15" s="23"/>
      <x:c r="AL15" s="107" t="s">
        <x:v>58</x:v>
      </x:c>
      <x:c r="AM15" s="108" t="s">
        <x:v>286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287</x:v>
      </x:c>
      <x:c r="G16" s="12" t="s">
        <x:v>288</x:v>
      </x:c>
      <x:c r="H16" s="23"/>
      <x:c r="I16" s="713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2"/>
      <x:c r="AF16" s="95"/>
      <x:c r="AG16" s="712"/>
      <x:c r="AH16" s="23" t="s">
        <x:v>45</x:v>
      </x:c>
      <x:c r="AI16" s="23" t="s">
        <x:v>281</x:v>
      </x:c>
      <x:c r="AJ16" s="109" t="s">
        <x:v>289</x:v>
      </x:c>
      <x:c r="AK16" s="23"/>
      <x:c r="AL16" s="107" t="s">
        <x:v>62</x:v>
      </x:c>
      <x:c r="AM16" s="108" t="s">
        <x:v>290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291</x:v>
      </x:c>
      <x:c r="G17" s="20" t="s">
        <x:v>292</x:v>
      </x:c>
      <x:c r="H17" s="26"/>
      <x:c r="I17" s="713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2"/>
      <x:c r="AF17" s="95"/>
      <x:c r="AG17" s="712"/>
      <x:c r="AH17" s="9" t="s">
        <x:v>293</x:v>
      </x:c>
      <x:c r="AI17" s="110"/>
      <x:c r="AJ17" s="100"/>
      <x:c r="AK17" s="23"/>
      <x:c r="AL17" s="107" t="s">
        <x:v>294</x:v>
      </x:c>
      <x:c r="AM17" s="108" t="s">
        <x:v>295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296</x:v>
      </x:c>
      <x:c r="G18" s="20" t="s">
        <x:v>201</x:v>
      </x:c>
      <x:c r="H18" s="23"/>
      <x:c r="I18" s="713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2"/>
      <x:c r="AF18" s="95"/>
      <x:c r="AG18" s="712"/>
      <x:c r="AH18" s="9" t="s">
        <x:v>297</x:v>
      </x:c>
      <x:c r="AI18" s="110">
        <x:v>90</x:v>
      </x:c>
      <x:c r="AJ18" s="100"/>
      <x:c r="AK18" s="23"/>
      <x:c r="AL18" s="107" t="s">
        <x:v>66</x:v>
      </x:c>
      <x:c r="AM18" s="108" t="s">
        <x:v>298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299</x:v>
      </x:c>
      <x:c r="G19" s="20" t="s">
        <x:v>300</x:v>
      </x:c>
      <x:c r="H19" s="23"/>
      <x:c r="I19" s="713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2"/>
      <x:c r="AF19" s="95"/>
      <x:c r="AG19" s="712"/>
      <x:c r="AH19" s="9" t="s">
        <x:v>301</x:v>
      </x:c>
      <x:c r="AI19" s="110">
        <x:v>0.699999988079071</x:v>
      </x:c>
      <x:c r="AJ19" s="100"/>
      <x:c r="AK19" s="23"/>
      <x:c r="AL19" s="107" t="s">
        <x:v>70</x:v>
      </x:c>
      <x:c r="AM19" s="108" t="s">
        <x:v>298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302</x:v>
      </x:c>
      <x:c r="G20" s="20" t="s">
        <x:v>303</x:v>
      </x:c>
      <x:c r="H20" s="23"/>
      <x:c r="I20" s="714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2"/>
      <x:c r="AF20" s="95"/>
      <x:c r="AG20" s="712"/>
      <x:c r="AH20" s="9" t="s">
        <x:v>304</x:v>
      </x:c>
      <x:c r="AI20" s="110">
        <x:v>42</x:v>
      </x:c>
      <x:c r="AJ20" s="100"/>
      <x:c r="AK20" s="23"/>
      <x:c r="AL20" s="111" t="s">
        <x:v>54</x:v>
      </x:c>
      <x:c r="AM20" s="112" t="s">
        <x:v>305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306</x:v>
      </x:c>
      <x:c r="F21" s="23">
        <x:v>0.62</x:v>
      </x:c>
      <x:c r="G21" s="23"/>
      <x:c r="H21" s="23"/>
      <x:c r="I21" s="712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2"/>
      <x:c r="AF21" s="95"/>
      <x:c r="AG21" s="712"/>
      <x:c r="AH21" s="9" t="s">
        <x:v>307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308</x:v>
      </x:c>
      <x:c r="F22" s="23">
        <x:v>18.411</x:v>
      </x:c>
      <x:c r="G22" s="23"/>
      <x:c r="H22" s="23"/>
      <x:c r="I22" s="712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2"/>
      <x:c r="AF22" s="95"/>
      <x:c r="AG22" s="712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309</x:v>
      </x:c>
      <x:c r="F23" s="23">
        <x:v>0.17</x:v>
      </x:c>
      <x:c r="G23" s="23"/>
      <x:c r="H23" s="23"/>
      <x:c r="I23" s="712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2"/>
      <x:c r="AF23" s="95"/>
      <x:c r="AG23" s="712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310</x:v>
      </x:c>
      <x:c r="G24" s="23" t="s">
        <x:v>201</x:v>
      </x:c>
      <x:c r="H24" s="23"/>
      <x:c r="I24" s="712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2"/>
      <x:c r="AF24" s="95"/>
      <x:c r="AG24" s="712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10"/>
      <x:c r="B25" s="710"/>
      <x:c r="C25" s="710"/>
      <x:c r="D25" s="710"/>
      <x:c r="E25" s="712"/>
      <x:c r="F25" s="712"/>
      <x:c r="G25" s="712"/>
      <x:c r="H25" s="712"/>
      <x:c r="I25" s="712"/>
      <x:c r="J25" s="31" t="s">
        <x:v>311</x:v>
      </x:c>
      <x:c r="K25" s="712"/>
      <x:c r="L25" s="712"/>
      <x:c r="M25" s="712"/>
      <x:c r="N25" s="712"/>
      <x:c r="O25" s="712"/>
      <x:c r="P25" s="712"/>
      <x:c r="Q25" s="712"/>
      <x:c r="R25" s="712"/>
      <x:c r="S25" s="712"/>
      <x:c r="T25" s="712"/>
      <x:c r="U25" s="712"/>
      <x:c r="V25" s="712"/>
      <x:c r="W25" s="712"/>
      <x:c r="X25" s="712"/>
      <x:c r="Y25" s="712"/>
      <x:c r="Z25" s="712"/>
      <x:c r="AA25" s="712"/>
      <x:c r="AB25" s="712"/>
      <x:c r="AC25" s="712"/>
      <x:c r="AD25" s="712"/>
      <x:c r="AE25" s="712"/>
      <x:c r="AF25" s="715"/>
      <x:c r="AG25" s="712"/>
      <x:c r="AH25" s="712"/>
      <x:c r="AI25" s="712"/>
      <x:c r="AJ25" s="712"/>
      <x:c r="AK25" s="712"/>
      <x:c r="AL25" s="712"/>
      <x:c r="AM25" s="712"/>
      <x:c r="AN25" s="712"/>
      <x:c r="AO25" s="712"/>
      <x:c r="AP25" s="712"/>
      <x:c r="AQ25" s="712"/>
      <x:c r="AR25" s="712"/>
      <x:c r="AS25" s="712"/>
      <x:c r="AT25" s="712"/>
      <x:c r="AU25" s="712"/>
      <x:c r="AV25" s="712"/>
      <x:c r="AW25" s="712"/>
      <x:c r="AX25" s="712"/>
      <x:c r="AY25" s="712"/>
      <x:c r="AZ25" s="712"/>
      <x:c r="BA25" s="712"/>
      <x:c r="BB25" s="712"/>
      <x:c r="BC25" s="712"/>
      <x:c r="BD25" s="712"/>
    </x:row>
    <x:row r="26" spans="1:248" ht="22.2" customHeight="1" x14ac:dyDescent="0.25">
      <x:c r="E26" s="17" t="s">
        <x:v>312</x:v>
      </x:c>
      <x:c r="F26" s="10" t="s">
        <x:v>313</x:v>
      </x:c>
      <x:c r="G26" s="20">
        <x:v>8</x:v>
      </x:c>
      <x:c r="H26" s="17" t="s">
        <x:v>39</x:v>
      </x:c>
      <x:c r="I26" s="712"/>
      <x:c r="J26" s="23"/>
      <x:c r="K26" s="10" t="s">
        <x:v>314</x:v>
      </x:c>
      <x:c r="L26" s="16">
        <x:f>L3</x:f>
      </x:c>
      <x:c r="M26" s="17" t="s">
        <x:v>203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315</x:v>
      </x:c>
      <x:c r="U26" s="20">
        <x:v>8</x:v>
      </x:c>
      <x:c r="V26" s="17" t="s">
        <x:v>39</x:v>
      </x:c>
      <x:c r="W26" s="56"/>
      <x:c r="X26" s="56"/>
      <x:c r="Y26" s="56"/>
      <x:c r="Z26" s="56"/>
      <x:c r="AA26" s="56"/>
      <x:c r="AB26" s="56"/>
      <x:c r="AC26" s="56"/>
      <x:c r="AD26" s="56"/>
      <x:c r="AE26" s="712"/>
      <x:c r="AF26" s="23"/>
      <x:c r="AG26" s="712"/>
      <x:c r="AH26" s="23" t="s">
        <x:v>316</x:v>
      </x:c>
      <x:c r="AI26" s="23" t="s">
        <x:v>317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318</x:v>
      </x:c>
      <x:c r="G27" s="20">
        <x:v>-8</x:v>
      </x:c>
      <x:c r="H27" s="17" t="s">
        <x:v>39</x:v>
      </x:c>
      <x:c r="I27" s="712"/>
      <x:c r="J27" s="23"/>
      <x:c r="K27" s="10" t="s">
        <x:v>319</x:v>
      </x:c>
      <x:c r="L27" s="11">
        <x:f>L$26*(1+G26/100)</x:f>
      </x:c>
      <x:c r="M27" s="17" t="s">
        <x:v>203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320</x:v>
      </x:c>
      <x:c r="U27" s="20">
        <x:v>0</x:v>
      </x:c>
      <x:c r="V27" s="17" t="s">
        <x:v>39</x:v>
      </x:c>
      <x:c r="W27" s="56"/>
      <x:c r="X27" s="56"/>
      <x:c r="Y27" s="56"/>
      <x:c r="Z27" s="56"/>
      <x:c r="AA27" s="56"/>
      <x:c r="AB27" s="56"/>
      <x:c r="AC27" s="56"/>
      <x:c r="AD27" s="56"/>
      <x:c r="AE27" s="712"/>
      <x:c r="AF27" s="23"/>
      <x:c r="AG27" s="712"/>
      <x:c r="AH27" s="23"/>
      <x:c r="AI27" s="23" t="s">
        <x:v>321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2"/>
      <x:c r="J28" s="23"/>
      <x:c r="K28" s="10" t="s">
        <x:v>322</x:v>
      </x:c>
      <x:c r="L28" s="11">
        <x:f>L$26*(1+G27/100)</x:f>
      </x:c>
      <x:c r="M28" s="17" t="s">
        <x:v>203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2"/>
      <x:c r="AF28" s="23"/>
      <x:c r="AG28" s="712"/>
      <x:c r="AH28" s="23"/>
      <x:c r="AI28" s="23" t="s">
        <x:v>323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10"/>
      <x:c r="B29" s="710"/>
      <x:c r="C29" s="710"/>
      <x:c r="D29" s="710"/>
      <x:c r="E29" s="716"/>
      <x:c r="F29" s="712"/>
      <x:c r="G29" s="712"/>
      <x:c r="H29" s="712"/>
      <x:c r="I29" s="712"/>
      <x:c r="J29" s="712"/>
      <x:c r="K29" s="712"/>
      <x:c r="L29" s="712"/>
      <x:c r="M29" s="712"/>
      <x:c r="N29" s="712"/>
      <x:c r="O29" s="712"/>
      <x:c r="P29" s="717" t="s">
        <x:v>324</x:v>
      </x:c>
      <x:c r="Q29" s="717" t="s">
        <x:v>325</x:v>
      </x:c>
      <x:c r="R29" s="712"/>
      <x:c r="S29" s="712"/>
      <x:c r="T29" s="712"/>
      <x:c r="U29" s="712"/>
      <x:c r="V29" s="712"/>
      <x:c r="W29" s="712"/>
      <x:c r="X29" s="712"/>
      <x:c r="Y29" s="712"/>
      <x:c r="Z29" s="712"/>
      <x:c r="AA29" s="712"/>
      <x:c r="AB29" s="712"/>
      <x:c r="AC29" s="712"/>
      <x:c r="AD29" s="712"/>
      <x:c r="AE29" s="712"/>
      <x:c r="AF29" s="715"/>
      <x:c r="AG29" s="712"/>
      <x:c r="AH29" s="712"/>
      <x:c r="AI29" s="712"/>
      <x:c r="AJ29" s="712"/>
      <x:c r="AK29" s="712"/>
      <x:c r="AL29" s="712"/>
      <x:c r="AM29" s="712"/>
      <x:c r="AN29" s="712"/>
      <x:c r="AO29" s="712"/>
      <x:c r="AP29" s="712"/>
      <x:c r="AQ29" s="712"/>
      <x:c r="AR29" s="712"/>
      <x:c r="AS29" s="712"/>
      <x:c r="AT29" s="712"/>
      <x:c r="AU29" s="712"/>
      <x:c r="AV29" s="712"/>
      <x:c r="AW29" s="712"/>
      <x:c r="AX29" s="712"/>
      <x:c r="AY29" s="712"/>
      <x:c r="AZ29" s="712"/>
      <x:c r="BA29" s="712"/>
      <x:c r="BB29" s="712"/>
      <x:c r="BC29" s="712"/>
      <x:c r="BD29" s="712"/>
    </x:row>
    <x:row r="30" spans="1:248" ht="22.2" customHeight="1" x14ac:dyDescent="0.25">
      <x:c r="E30" s="17" t="s">
        <x:v>312</x:v>
      </x:c>
      <x:c r="F30" s="10" t="s">
        <x:v>326</x:v>
      </x:c>
      <x:c r="G30" s="20">
        <x:v>5</x:v>
      </x:c>
      <x:c r="H30" s="17" t="s">
        <x:v>39</x:v>
      </x:c>
      <x:c r="I30" s="712"/>
      <x:c r="J30" s="23"/>
      <x:c r="K30" s="10" t="s">
        <x:v>204</x:v>
      </x:c>
      <x:c r="L30" s="11">
        <x:f>L4</x:f>
      </x:c>
      <x:c r="M30" s="17" t="s">
        <x:v>104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327</x:v>
      </x:c>
      <x:c r="U30" s="20">
        <x:v>0</x:v>
      </x:c>
      <x:c r="V30" s="17" t="s">
        <x:v>39</x:v>
      </x:c>
      <x:c r="W30" s="56"/>
      <x:c r="X30" s="56"/>
      <x:c r="Y30" s="56"/>
      <x:c r="Z30" s="56"/>
      <x:c r="AA30" s="56"/>
      <x:c r="AB30" s="56"/>
      <x:c r="AC30" s="56"/>
      <x:c r="AD30" s="56"/>
      <x:c r="AE30" s="712"/>
      <x:c r="AF30" s="23"/>
      <x:c r="AG30" s="712"/>
      <x:c r="AH30" s="23"/>
      <x:c r="AI30" s="23" t="s">
        <x:v>328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329</x:v>
      </x:c>
      <x:c r="G31" s="20">
        <x:v>-5</x:v>
      </x:c>
      <x:c r="H31" s="17" t="s">
        <x:v>39</x:v>
      </x:c>
      <x:c r="I31" s="712"/>
      <x:c r="J31" s="23"/>
      <x:c r="K31" s="10" t="s">
        <x:v>330</x:v>
      </x:c>
      <x:c r="L31" s="11">
        <x:f>L$30*(1+G30/100)</x:f>
      </x:c>
      <x:c r="M31" s="17" t="s">
        <x:v>104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331</x:v>
      </x:c>
      <x:c r="U31" s="20">
        <x:v>-5</x:v>
      </x:c>
      <x:c r="V31" s="17" t="s">
        <x:v>39</x:v>
      </x:c>
      <x:c r="W31" s="56"/>
      <x:c r="X31" s="56"/>
      <x:c r="Y31" s="56"/>
      <x:c r="Z31" s="56"/>
      <x:c r="AA31" s="56"/>
      <x:c r="AB31" s="56"/>
      <x:c r="AC31" s="56"/>
      <x:c r="AD31" s="56"/>
      <x:c r="AE31" s="712"/>
      <x:c r="AF31" s="23"/>
      <x:c r="AG31" s="712"/>
      <x:c r="AH31" s="23"/>
      <x:c r="AI31" s="23" t="s">
        <x:v>332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2"/>
      <x:c r="J32" s="23"/>
      <x:c r="K32" s="10" t="s">
        <x:v>333</x:v>
      </x:c>
      <x:c r="L32" s="11">
        <x:f>L$30*(1+G31/100)</x:f>
      </x:c>
      <x:c r="M32" s="17" t="s">
        <x:v>104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2"/>
      <x:c r="AF32" s="23"/>
      <x:c r="AG32" s="712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10"/>
      <x:c r="B33" s="710"/>
      <x:c r="C33" s="710"/>
      <x:c r="D33" s="710"/>
      <x:c r="E33" s="716"/>
      <x:c r="F33" s="712"/>
      <x:c r="G33" s="712"/>
      <x:c r="H33" s="712"/>
      <x:c r="I33" s="712"/>
      <x:c r="J33" s="712"/>
      <x:c r="K33" s="712"/>
      <x:c r="L33" s="712"/>
      <x:c r="M33" s="712"/>
      <x:c r="N33" s="712"/>
      <x:c r="O33" s="712"/>
      <x:c r="P33" s="717"/>
      <x:c r="Q33" s="717"/>
      <x:c r="R33" s="712"/>
      <x:c r="S33" s="712"/>
      <x:c r="T33" s="712"/>
      <x:c r="U33" s="712"/>
      <x:c r="V33" s="712"/>
      <x:c r="W33" s="712"/>
      <x:c r="X33" s="712"/>
      <x:c r="Y33" s="712"/>
      <x:c r="Z33" s="712"/>
      <x:c r="AA33" s="712"/>
      <x:c r="AB33" s="712"/>
      <x:c r="AC33" s="712"/>
      <x:c r="AD33" s="712"/>
      <x:c r="AE33" s="712"/>
      <x:c r="AF33" s="715"/>
      <x:c r="AG33" s="712"/>
      <x:c r="AH33" s="712"/>
      <x:c r="AI33" s="712"/>
      <x:c r="AJ33" s="712"/>
      <x:c r="AK33" s="712"/>
      <x:c r="AL33" s="712"/>
      <x:c r="AM33" s="712"/>
      <x:c r="AN33" s="712"/>
      <x:c r="AO33" s="712"/>
      <x:c r="AP33" s="712"/>
      <x:c r="AQ33" s="712"/>
      <x:c r="AR33" s="712"/>
      <x:c r="AS33" s="712"/>
      <x:c r="AT33" s="712"/>
      <x:c r="AU33" s="712"/>
      <x:c r="AV33" s="712"/>
      <x:c r="AW33" s="712"/>
      <x:c r="AX33" s="712"/>
      <x:c r="AY33" s="712"/>
      <x:c r="AZ33" s="712"/>
      <x:c r="BA33" s="712"/>
      <x:c r="BB33" s="712"/>
      <x:c r="BC33" s="712"/>
      <x:c r="BD33" s="712"/>
    </x:row>
    <x:row r="34" spans="1:248" ht="22.2" customHeight="1" x14ac:dyDescent="0.25">
      <x:c r="E34" s="31" t="s">
        <x:v>334</x:v>
      </x:c>
      <x:c r="F34" s="31"/>
      <x:c r="G34" s="32">
        <x:v>50</x:v>
      </x:c>
      <x:c r="H34" s="31" t="s">
        <x:v>39</x:v>
      </x:c>
      <x:c r="I34" s="712"/>
      <x:c r="J34" s="605" t="s">
        <x:v>335</x:v>
      </x:c>
      <x:c r="K34" s="612" t="s">
        <x:v>229</x:v>
      </x:c>
      <x:c r="L34" s="621" t="s">
        <x:v>336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2"/>
      <x:c r="AF34" s="23"/>
      <x:c r="AG34" s="712"/>
      <x:c r="AH34" s="23"/>
      <x:c r="AI34" s="23" t="s">
        <x:v>337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285</x:v>
      </x:c>
      <x:c r="F35" s="31"/>
      <x:c r="G35" s="32">
        <x:v>5</x:v>
      </x:c>
      <x:c r="H35" s="31" t="s">
        <x:v>338</x:v>
      </x:c>
      <x:c r="I35" s="712"/>
      <x:c r="J35" s="51"/>
      <x:c r="K35" s="58"/>
      <x:c r="L35" s="58" t="s">
        <x:v>339</x:v>
      </x:c>
      <x:c r="M35" s="58" t="s">
        <x:v>340</x:v>
      </x:c>
      <x:c r="N35" s="59" t="s">
        <x:v>341</x:v>
      </x:c>
      <x:c r="O35" s="59" t="s">
        <x:v>342</x:v>
      </x:c>
      <x:c r="P35" s="58" t="s">
        <x:v>343</x:v>
      </x:c>
      <x:c r="Q35" s="58" t="s">
        <x:v>344</x:v>
      </x:c>
      <x:c r="R35" s="58" t="s">
        <x:v>345</x:v>
      </x:c>
      <x:c r="S35" s="59" t="s">
        <x:v>346</x:v>
      </x:c>
      <x:c r="T35" s="272" t="s">
        <x:v>347</x:v>
      </x:c>
      <x:c r="U35" s="272" t="s">
        <x:v>348</x:v>
      </x:c>
      <x:c r="V35" s="273" t="s">
        <x:v>349</x:v>
      </x:c>
      <x:c r="W35" s="274" t="s">
        <x:v>350</x:v>
      </x:c>
      <x:c r="X35" s="271" t="s">
        <x:v>351</x:v>
      </x:c>
      <x:c r="Y35" s="271" t="s">
        <x:v>352</x:v>
      </x:c>
      <x:c r="Z35" s="271" t="s">
        <x:v>353</x:v>
      </x:c>
      <x:c r="AA35" s="56" t="s">
        <x:v>354</x:v>
      </x:c>
      <x:c r="AB35" s="56"/>
      <x:c r="AC35" s="56"/>
      <x:c r="AD35" s="97" t="s">
        <x:v>285</x:v>
      </x:c>
      <x:c r="AE35" s="712"/>
      <x:c r="AF35" s="23"/>
      <x:c r="AG35" s="712"/>
      <x:c r="AH35" s="23"/>
      <x:c r="AI35" s="23" t="s">
        <x:v>355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356</x:v>
      </x:c>
      <x:c r="F36" s="637"/>
      <x:c r="G36" s="32">
        <x:v>4</x:v>
      </x:c>
      <x:c r="H36" s="31" t="s">
        <x:v>104</x:v>
      </x:c>
      <x:c r="I36" s="712"/>
      <x:c r="J36" s="607" t="s">
        <x:v>357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358</x:v>
      </x:c>
      <x:c r="AE36" s="712"/>
      <x:c r="AF36" s="23"/>
      <x:c r="AG36" s="712"/>
      <x:c r="AH36" s="23"/>
      <x:c r="AI36" s="23" t="s">
        <x:v>359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360</x:v>
      </x:c>
      <x:c r="F37" s="639"/>
      <x:c r="G37" s="32">
        <x:v>50</x:v>
      </x:c>
      <x:c r="H37" s="31" t="s">
        <x:v>361</x:v>
      </x:c>
      <x:c r="I37" s="712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2"/>
      <x:c r="AF37" s="23"/>
      <x:c r="AG37" s="712"/>
      <x:c r="AH37" s="23"/>
      <x:c r="AI37" s="23" t="s">
        <x:v>362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363</x:v>
      </x:c>
      <x:c r="F38" s="639"/>
      <x:c r="G38" s="32">
        <x:v>3.90000009536743</x:v>
      </x:c>
      <x:c r="H38" s="32" t="s">
        <x:v>104</x:v>
      </x:c>
      <x:c r="I38" s="712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2"/>
      <x:c r="AF38" s="23"/>
      <x:c r="AG38" s="712"/>
      <x:c r="AH38" s="23"/>
      <x:c r="AI38" s="23" t="s">
        <x:v>364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365</x:v>
      </x:c>
      <x:c r="F39" s="639"/>
      <x:c r="G39" s="32">
        <x:v>3</x:v>
      </x:c>
      <x:c r="H39" s="31" t="s">
        <x:v>108</x:v>
      </x:c>
      <x:c r="I39" s="712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2"/>
      <x:c r="AF39" s="23"/>
      <x:c r="AG39" s="712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334</x:v>
      </x:c>
      <x:c r="F40" s="639"/>
      <x:c r="G40" s="32">
        <x:v>50</x:v>
      </x:c>
      <x:c r="H40" s="32" t="s">
        <x:v>39</x:v>
      </x:c>
      <x:c r="I40" s="712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2"/>
      <x:c r="AF40" s="23"/>
      <x:c r="AG40" s="712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2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2"/>
      <x:c r="AF41" s="23"/>
      <x:c r="AG41" s="712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2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2"/>
      <x:c r="AF42" s="23"/>
      <x:c r="AG42" s="712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2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2"/>
      <x:c r="AF43" s="23"/>
      <x:c r="AG43" s="712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2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2"/>
      <x:c r="AF44" s="23"/>
      <x:c r="AG44" s="712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2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2"/>
      <x:c r="AF45" s="23"/>
      <x:c r="AG45" s="712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2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2"/>
      <x:c r="AF46" s="23"/>
      <x:c r="AG46" s="712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2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2"/>
      <x:c r="AF47" s="23"/>
      <x:c r="AG47" s="712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2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2"/>
      <x:c r="AF48" s="23"/>
      <x:c r="AG48" s="712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2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2"/>
      <x:c r="AF49" s="23"/>
      <x:c r="AG49" s="712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2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2"/>
      <x:c r="AF50" s="23"/>
      <x:c r="AG50" s="712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2"/>
      <x:c r="J51" s="66" t="s">
        <x:v>366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104</x:v>
      </x:c>
      <x:c r="T51" s="623" t="s">
        <x:v>367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2"/>
      <x:c r="AF51" s="23"/>
      <x:c r="AG51" s="712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2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2"/>
      <x:c r="AF52" s="23"/>
      <x:c r="AG52" s="712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2"/>
      <x:c r="J53" s="607" t="s">
        <x:v>368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2"/>
      <x:c r="AF53" s="23"/>
      <x:c r="AG53" s="712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2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2"/>
      <x:c r="AF54" s="23"/>
      <x:c r="AG54" s="712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2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2"/>
      <x:c r="AF55" s="23"/>
      <x:c r="AG55" s="712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2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2"/>
      <x:c r="AF56" s="23"/>
      <x:c r="AG56" s="712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2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2"/>
      <x:c r="AF57" s="23"/>
      <x:c r="AG57" s="712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2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2"/>
      <x:c r="AF58" s="23"/>
      <x:c r="AG58" s="712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2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2"/>
      <x:c r="AF59" s="23"/>
      <x:c r="AG59" s="712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2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2"/>
      <x:c r="AF60" s="23"/>
      <x:c r="AG60" s="712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2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2"/>
      <x:c r="AF61" s="23"/>
      <x:c r="AG61" s="712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2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2"/>
      <x:c r="AF62" s="23"/>
      <x:c r="AG62" s="712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2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2"/>
      <x:c r="AF63" s="23"/>
      <x:c r="AG63" s="712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2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2"/>
      <x:c r="AF64" s="23"/>
      <x:c r="AG64" s="712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2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2"/>
      <x:c r="AF65" s="23"/>
      <x:c r="AG65" s="712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2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2"/>
      <x:c r="AF66" s="23"/>
      <x:c r="AG66" s="712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2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2"/>
      <x:c r="AF67" s="23"/>
      <x:c r="AG67" s="712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2"/>
      <x:c r="J68" s="113" t="s">
        <x:v>366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104</x:v>
      </x:c>
      <x:c r="T68" s="623" t="s">
        <x:v>367</x:v>
      </x:c>
      <x:c r="U68" s="624"/>
      <x:c r="V68" s="84" t="s">
        <x:v>201</x:v>
      </x:c>
      <x:c r="W68" s="84"/>
      <x:c r="X68" s="62"/>
      <x:c r="Y68" s="62"/>
      <x:c r="Z68" s="62"/>
      <x:c r="AA68" s="267"/>
      <x:c r="AB68" s="56"/>
      <x:c r="AC68" s="56"/>
      <x:c r="AD68" s="18"/>
      <x:c r="AE68" s="712"/>
      <x:c r="AF68" s="23"/>
      <x:c r="AG68" s="712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2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2"/>
      <x:c r="AF69" s="23"/>
      <x:c r="AG69" s="712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2"/>
      <x:c r="J70" s="607" t="s">
        <x:v>369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2"/>
      <x:c r="AF70" s="23"/>
      <x:c r="AG70" s="712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2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2"/>
      <x:c r="AF71" s="23"/>
      <x:c r="AG71" s="712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2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2"/>
      <x:c r="AF72" s="23"/>
      <x:c r="AG72" s="712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2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2"/>
      <x:c r="AF73" s="23"/>
      <x:c r="AG73" s="712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2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2"/>
      <x:c r="AF74" s="23"/>
      <x:c r="AG74" s="712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2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2"/>
      <x:c r="AF75" s="23"/>
      <x:c r="AG75" s="712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2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2"/>
      <x:c r="AF76" s="23"/>
      <x:c r="AG76" s="712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2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2"/>
      <x:c r="AF77" s="23"/>
      <x:c r="AG77" s="712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2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2"/>
      <x:c r="AF78" s="23"/>
      <x:c r="AG78" s="712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2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2"/>
      <x:c r="AF79" s="23"/>
      <x:c r="AG79" s="712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2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2"/>
      <x:c r="AF80" s="23"/>
      <x:c r="AG80" s="712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2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2"/>
      <x:c r="AF81" s="23"/>
      <x:c r="AG81" s="712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2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2"/>
      <x:c r="AF82" s="23"/>
      <x:c r="AG82" s="712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2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2"/>
      <x:c r="AF83" s="23"/>
      <x:c r="AG83" s="712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2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2"/>
      <x:c r="AF84" s="23"/>
      <x:c r="AG84" s="712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2"/>
      <x:c r="J85" s="114" t="s">
        <x:v>366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104</x:v>
      </x:c>
      <x:c r="T85" s="623" t="s">
        <x:v>367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2"/>
      <x:c r="AF85" s="23"/>
      <x:c r="AG85" s="712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2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2"/>
      <x:c r="AF86" s="23"/>
      <x:c r="AG86" s="712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2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2"/>
      <x:c r="AF87" s="23"/>
      <x:c r="AG87" s="712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2"/>
      <x:c r="J88" s="588" t="s">
        <x:v>370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2"/>
      <x:c r="AF88" s="23"/>
      <x:c r="AG88" s="712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2"/>
      <x:c r="J89" s="591"/>
      <x:c r="K89" s="19"/>
      <x:c r="L89" s="593"/>
      <x:c r="M89" s="115" t="s">
        <x:v>229</x:v>
      </x:c>
      <x:c r="N89" s="628" t="s">
        <x:v>371</x:v>
      </x:c>
      <x:c r="O89" s="629"/>
      <x:c r="P89" s="628" t="s">
        <x:v>372</x:v>
      </x:c>
      <x:c r="Q89" s="629"/>
      <x:c r="R89" s="630" t="s">
        <x:v>360</x:v>
      </x:c>
      <x:c r="S89" s="631"/>
      <x:c r="T89" s="632" t="s">
        <x:v>373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2"/>
      <x:c r="AF89" s="23"/>
      <x:c r="AG89" s="712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2"/>
      <x:c r="J90" s="609" t="s">
        <x:v>374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2"/>
      <x:c r="AF90" s="23"/>
      <x:c r="AG90" s="712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2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2"/>
      <x:c r="AF91" s="23"/>
      <x:c r="AG91" s="712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2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2"/>
      <x:c r="AF92" s="23"/>
      <x:c r="AG92" s="712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2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2"/>
      <x:c r="AF93" s="23"/>
      <x:c r="AG93" s="712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2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2"/>
      <x:c r="AF94" s="23"/>
      <x:c r="AG94" s="712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2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2"/>
      <x:c r="AF95" s="23"/>
      <x:c r="AG95" s="712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2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375</x:v>
      </x:c>
      <x:c r="Z96" s="56"/>
      <x:c r="AA96" s="56"/>
      <x:c r="AB96" s="56"/>
      <x:c r="AC96" s="56"/>
      <x:c r="AD96" s="56"/>
      <x:c r="AE96" s="712"/>
      <x:c r="AF96" s="23"/>
      <x:c r="AG96" s="712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2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2"/>
      <x:c r="AF97" s="23"/>
      <x:c r="AG97" s="712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2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2"/>
      <x:c r="AF98" s="23"/>
      <x:c r="AG98" s="712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2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2"/>
      <x:c r="AF99" s="23"/>
      <x:c r="AG99" s="712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2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2"/>
      <x:c r="AF100" s="23"/>
      <x:c r="AG100" s="712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2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2"/>
      <x:c r="AF101" s="23"/>
      <x:c r="AG101" s="712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2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2"/>
      <x:c r="AF102" s="23"/>
      <x:c r="AG102" s="712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2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2"/>
      <x:c r="AF103" s="23"/>
      <x:c r="AG103" s="712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2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2"/>
      <x:c r="AF104" s="23"/>
      <x:c r="AG104" s="712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2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2"/>
      <x:c r="AF105" s="23"/>
      <x:c r="AG105" s="712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2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2"/>
      <x:c r="AF106" s="23"/>
      <x:c r="AG106" s="712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2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2"/>
      <x:c r="AF107" s="23"/>
      <x:c r="AG107" s="712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2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2"/>
      <x:c r="AF108" s="23"/>
      <x:c r="AG108" s="712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2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2"/>
      <x:c r="AF109" s="23"/>
      <x:c r="AG109" s="712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2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2"/>
      <x:c r="AF110" s="23"/>
      <x:c r="AG110" s="712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2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2"/>
      <x:c r="AF111" s="23"/>
      <x:c r="AG111" s="712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2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2"/>
      <x:c r="AF112" s="23"/>
      <x:c r="AG112" s="712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2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2"/>
      <x:c r="AF113" s="23"/>
      <x:c r="AG113" s="712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2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2"/>
      <x:c r="AF114" s="23"/>
      <x:c r="AG114" s="712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2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2"/>
      <x:c r="AF115" s="23"/>
      <x:c r="AG115" s="712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2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2"/>
      <x:c r="AF116" s="23"/>
      <x:c r="AG116" s="712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2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2"/>
      <x:c r="AF117" s="23"/>
      <x:c r="AG117" s="712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2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2"/>
      <x:c r="AF118" s="23"/>
      <x:c r="AG118" s="712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2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2"/>
      <x:c r="AF119" s="23"/>
      <x:c r="AG119" s="712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2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2"/>
      <x:c r="AF120" s="23"/>
      <x:c r="AG120" s="712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2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2"/>
      <x:c r="AF121" s="23"/>
      <x:c r="AG121" s="712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2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2"/>
      <x:c r="AF122" s="23"/>
      <x:c r="AG122" s="712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2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2"/>
      <x:c r="AF123" s="23"/>
      <x:c r="AG123" s="712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2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2"/>
      <x:c r="AF124" s="23"/>
      <x:c r="AG124" s="712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2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2"/>
      <x:c r="AF125" s="23"/>
      <x:c r="AG125" s="712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2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2"/>
      <x:c r="AF126" s="23"/>
      <x:c r="AG126" s="712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2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2"/>
      <x:c r="AF127" s="23"/>
      <x:c r="AG127" s="712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2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2"/>
      <x:c r="AF128" s="23"/>
      <x:c r="AG128" s="712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2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2"/>
      <x:c r="AF129" s="23"/>
      <x:c r="AG129" s="712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2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2"/>
      <x:c r="AF130" s="23"/>
      <x:c r="AG130" s="712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2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2"/>
      <x:c r="AF131" s="23"/>
      <x:c r="AG131" s="712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2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2"/>
      <x:c r="AF132" s="23"/>
      <x:c r="AG132" s="712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2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2"/>
      <x:c r="AF133" s="23"/>
      <x:c r="AG133" s="712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2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2"/>
      <x:c r="AF134" s="23"/>
      <x:c r="AG134" s="712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2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2"/>
      <x:c r="AF135" s="23"/>
      <x:c r="AG135" s="712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2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2"/>
      <x:c r="AF136" s="23"/>
      <x:c r="AG136" s="712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2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2"/>
      <x:c r="AF137" s="23"/>
      <x:c r="AG137" s="712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2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2"/>
      <x:c r="AF138" s="23"/>
      <x:c r="AG138" s="712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2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2"/>
      <x:c r="AF139" s="23"/>
      <x:c r="AG139" s="712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2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2"/>
      <x:c r="AF140" s="23"/>
      <x:c r="AG140" s="712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2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2"/>
      <x:c r="AF141" s="23"/>
      <x:c r="AG141" s="712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2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2"/>
      <x:c r="AF142" s="23"/>
      <x:c r="AG142" s="712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2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2"/>
      <x:c r="AF143" s="23"/>
      <x:c r="AG143" s="712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2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2"/>
      <x:c r="AF144" s="23"/>
      <x:c r="AG144" s="712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2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2"/>
      <x:c r="AF145" s="23"/>
      <x:c r="AG145" s="712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2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2"/>
      <x:c r="AF146" s="23"/>
      <x:c r="AG146" s="712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2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2"/>
      <x:c r="AF147" s="23"/>
      <x:c r="AG147" s="712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2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2"/>
      <x:c r="AF148" s="23"/>
      <x:c r="AG148" s="712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2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2"/>
      <x:c r="AF149" s="23"/>
      <x:c r="AG149" s="712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2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2"/>
      <x:c r="AF150" s="23"/>
      <x:c r="AG150" s="712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2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2"/>
      <x:c r="AF151" s="23"/>
      <x:c r="AG151" s="712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2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2"/>
      <x:c r="AF152" s="23"/>
      <x:c r="AG152" s="712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2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2"/>
      <x:c r="AF153" s="23"/>
      <x:c r="AG153" s="712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2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2"/>
      <x:c r="AF154" s="23"/>
      <x:c r="AG154" s="712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2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2"/>
      <x:c r="AF155" s="23"/>
      <x:c r="AG155" s="712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2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2"/>
      <x:c r="AF156" s="23"/>
      <x:c r="AG156" s="712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2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2"/>
      <x:c r="AF157" s="23"/>
      <x:c r="AG157" s="712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2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2"/>
      <x:c r="AF158" s="23"/>
      <x:c r="AG158" s="712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2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2"/>
      <x:c r="AF159" s="23"/>
      <x:c r="AG159" s="712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2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2"/>
      <x:c r="AF160" s="23"/>
      <x:c r="AG160" s="712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2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2"/>
      <x:c r="AF161" s="23"/>
      <x:c r="AG161" s="712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2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2"/>
      <x:c r="AF162" s="23"/>
      <x:c r="AG162" s="712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2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2"/>
      <x:c r="AF163" s="23"/>
      <x:c r="AG163" s="712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2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2"/>
      <x:c r="AF164" s="23"/>
      <x:c r="AG164" s="712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2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2"/>
      <x:c r="AF165" s="23"/>
      <x:c r="AG165" s="712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2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2"/>
      <x:c r="AF166" s="23"/>
      <x:c r="AG166" s="712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2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2"/>
      <x:c r="AF167" s="23"/>
      <x:c r="AG167" s="712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2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2"/>
      <x:c r="AF168" s="23"/>
      <x:c r="AG168" s="712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2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2"/>
      <x:c r="AF169" s="23"/>
      <x:c r="AG169" s="712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2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2"/>
      <x:c r="AF170" s="23"/>
      <x:c r="AG170" s="712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2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2"/>
      <x:c r="AF171" s="23"/>
      <x:c r="AG171" s="712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2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2"/>
      <x:c r="AF172" s="23"/>
      <x:c r="AG172" s="712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2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2"/>
      <x:c r="AF173" s="23"/>
      <x:c r="AG173" s="712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2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2"/>
      <x:c r="AF174" s="23"/>
      <x:c r="AG174" s="712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2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2"/>
      <x:c r="AF175" s="23"/>
      <x:c r="AG175" s="712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2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2"/>
      <x:c r="AF176" s="23"/>
      <x:c r="AG176" s="712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2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2"/>
      <x:c r="AF177" s="23"/>
      <x:c r="AG177" s="712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2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2"/>
      <x:c r="AF178" s="23"/>
      <x:c r="AG178" s="712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2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2"/>
      <x:c r="AF179" s="23"/>
      <x:c r="AG179" s="712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2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2"/>
      <x:c r="AF180" s="23"/>
      <x:c r="AG180" s="712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2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2"/>
      <x:c r="AF181" s="23"/>
      <x:c r="AG181" s="712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2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2"/>
      <x:c r="AF182" s="23"/>
      <x:c r="AG182" s="712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2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2"/>
      <x:c r="AF183" s="23"/>
      <x:c r="AG183" s="712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2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2"/>
      <x:c r="AF184" s="23"/>
      <x:c r="AG184" s="712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2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2"/>
      <x:c r="AF185" s="23"/>
      <x:c r="AG185" s="712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2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2"/>
      <x:c r="AF186" s="23"/>
      <x:c r="AG186" s="712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2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2"/>
      <x:c r="AF187" s="23"/>
      <x:c r="AG187" s="712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2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2"/>
      <x:c r="AF188" s="23"/>
      <x:c r="AG188" s="712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2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2"/>
      <x:c r="AF189" s="23"/>
      <x:c r="AG189" s="712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2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2"/>
      <x:c r="AF190" s="23"/>
      <x:c r="AG190" s="712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2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2"/>
      <x:c r="AF191" s="23"/>
      <x:c r="AG191" s="712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2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2"/>
      <x:c r="AF192" s="23"/>
      <x:c r="AG192" s="712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2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2"/>
      <x:c r="AF193" s="23"/>
      <x:c r="AG193" s="712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2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2"/>
      <x:c r="AF194" s="23"/>
      <x:c r="AG194" s="712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2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2"/>
      <x:c r="AF195" s="23"/>
      <x:c r="AG195" s="712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2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2"/>
      <x:c r="AF196" s="23"/>
      <x:c r="AG196" s="712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2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2"/>
      <x:c r="AF197" s="23"/>
      <x:c r="AG197" s="712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2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2"/>
      <x:c r="AF198" s="23"/>
      <x:c r="AG198" s="712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2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2"/>
      <x:c r="AF199" s="23"/>
      <x:c r="AG199" s="712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2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2"/>
      <x:c r="AF200" s="23"/>
      <x:c r="AG200" s="712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2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2"/>
      <x:c r="AF201" s="23"/>
      <x:c r="AG201" s="712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2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2"/>
      <x:c r="AF202" s="23"/>
      <x:c r="AG202" s="712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2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2"/>
      <x:c r="AF203" s="23"/>
      <x:c r="AG203" s="712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2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2"/>
      <x:c r="AF204" s="23"/>
      <x:c r="AG204" s="712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2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2"/>
      <x:c r="AF205" s="23"/>
      <x:c r="AG205" s="712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2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2"/>
      <x:c r="AF206" s="23"/>
      <x:c r="AG206" s="712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2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2"/>
      <x:c r="AF207" s="23"/>
      <x:c r="AG207" s="712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2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2"/>
      <x:c r="AF208" s="23"/>
      <x:c r="AG208" s="712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2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2"/>
      <x:c r="AF209" s="23"/>
      <x:c r="AG209" s="712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2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2"/>
      <x:c r="AF210" s="23"/>
      <x:c r="AG210" s="712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2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2"/>
      <x:c r="AF211" s="23"/>
      <x:c r="AG211" s="712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2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2"/>
      <x:c r="AF212" s="23"/>
      <x:c r="AG212" s="712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2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2"/>
      <x:c r="AF213" s="23"/>
      <x:c r="AG213" s="712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2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2"/>
      <x:c r="AF214" s="23"/>
      <x:c r="AG214" s="712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2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2"/>
      <x:c r="AF215" s="23"/>
      <x:c r="AG215" s="712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2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2"/>
      <x:c r="AF216" s="23"/>
      <x:c r="AG216" s="712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2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2"/>
      <x:c r="AF217" s="23"/>
      <x:c r="AG217" s="712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2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2"/>
      <x:c r="AF218" s="23"/>
      <x:c r="AG218" s="712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2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2"/>
      <x:c r="AF219" s="23"/>
      <x:c r="AG219" s="712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2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2"/>
      <x:c r="AF220" s="23"/>
      <x:c r="AG220" s="712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2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2"/>
      <x:c r="AF221" s="23"/>
      <x:c r="AG221" s="712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2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2"/>
      <x:c r="AF222" s="23"/>
      <x:c r="AG222" s="712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2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2"/>
      <x:c r="AF223" s="23"/>
      <x:c r="AG223" s="712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2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2"/>
      <x:c r="AF224" s="23"/>
      <x:c r="AG224" s="712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2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2"/>
      <x:c r="AF225" s="23"/>
      <x:c r="AG225" s="712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2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2"/>
      <x:c r="AF226" s="23"/>
      <x:c r="AG226" s="712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2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2"/>
      <x:c r="AF227" s="23"/>
      <x:c r="AG227" s="712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2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2"/>
      <x:c r="AF228" s="23"/>
      <x:c r="AG228" s="712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2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2"/>
      <x:c r="AF229" s="23"/>
      <x:c r="AG229" s="712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2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2"/>
      <x:c r="AF230" s="23"/>
      <x:c r="AG230" s="712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2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2"/>
      <x:c r="AF231" s="23"/>
      <x:c r="AG231" s="712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2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2"/>
      <x:c r="AF232" s="23"/>
      <x:c r="AG232" s="712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2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2"/>
      <x:c r="AF233" s="23"/>
      <x:c r="AG233" s="712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2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2"/>
      <x:c r="AF234" s="23"/>
      <x:c r="AG234" s="712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2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2"/>
      <x:c r="AF235" s="23"/>
      <x:c r="AG235" s="712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2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2"/>
      <x:c r="AF236" s="23"/>
      <x:c r="AG236" s="712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2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2"/>
      <x:c r="AF237" s="23"/>
      <x:c r="AG237" s="712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2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2"/>
      <x:c r="AF238" s="23"/>
      <x:c r="AG238" s="712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2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2"/>
      <x:c r="AF239" s="23"/>
      <x:c r="AG239" s="712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2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2"/>
      <x:c r="AF240" s="23"/>
      <x:c r="AG240" s="712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2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2"/>
      <x:c r="AF241" s="23"/>
      <x:c r="AG241" s="712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2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2"/>
      <x:c r="AF242" s="23"/>
      <x:c r="AG242" s="712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2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2"/>
      <x:c r="AF243" s="23"/>
      <x:c r="AG243" s="712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2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2"/>
      <x:c r="AF244" s="23"/>
      <x:c r="AG244" s="712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2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2"/>
      <x:c r="AF245" s="23"/>
      <x:c r="AG245" s="712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2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2"/>
      <x:c r="AF246" s="23"/>
      <x:c r="AG246" s="712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2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2"/>
      <x:c r="AF247" s="23"/>
      <x:c r="AG247" s="712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2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2"/>
      <x:c r="AF248" s="23"/>
      <x:c r="AG248" s="712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2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2"/>
      <x:c r="AF249" s="23"/>
      <x:c r="AG249" s="712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2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2"/>
      <x:c r="AF250" s="23"/>
      <x:c r="AG250" s="712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2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2"/>
      <x:c r="AF251" s="23"/>
      <x:c r="AG251" s="712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2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2"/>
      <x:c r="AF252" s="23"/>
      <x:c r="AG252" s="712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2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2"/>
      <x:c r="AF253" s="23"/>
      <x:c r="AG253" s="712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2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2"/>
      <x:c r="AF254" s="23"/>
      <x:c r="AG254" s="712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2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2"/>
      <x:c r="AF255" s="23"/>
      <x:c r="AG255" s="712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2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2"/>
      <x:c r="AF256" s="23"/>
      <x:c r="AG256" s="712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2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2"/>
      <x:c r="AF257" s="23"/>
      <x:c r="AG257" s="712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2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2"/>
      <x:c r="AF258" s="23"/>
      <x:c r="AG258" s="712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2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2"/>
      <x:c r="AF259" s="23"/>
      <x:c r="AG259" s="712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2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2"/>
      <x:c r="AF260" s="23"/>
      <x:c r="AG260" s="712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2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2"/>
      <x:c r="AF261" s="23"/>
      <x:c r="AG261" s="712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2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2"/>
      <x:c r="AF262" s="23"/>
      <x:c r="AG262" s="712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2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2"/>
      <x:c r="AF263" s="23"/>
      <x:c r="AG263" s="712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2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2"/>
      <x:c r="AF264" s="23"/>
      <x:c r="AG264" s="712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2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2"/>
      <x:c r="AF265" s="23"/>
      <x:c r="AG265" s="712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2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2"/>
      <x:c r="AF266" s="23"/>
      <x:c r="AG266" s="712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2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2"/>
      <x:c r="AF267" s="23"/>
      <x:c r="AG267" s="712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2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2"/>
      <x:c r="AF268" s="23"/>
      <x:c r="AG268" s="712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2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2"/>
      <x:c r="AF269" s="23"/>
      <x:c r="AG269" s="712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2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2"/>
      <x:c r="AF270" s="23"/>
      <x:c r="AG270" s="712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2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2"/>
      <x:c r="AF271" s="23"/>
      <x:c r="AG271" s="712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2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2"/>
      <x:c r="AF272" s="23"/>
      <x:c r="AG272" s="712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2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2"/>
      <x:c r="AF273" s="23"/>
      <x:c r="AG273" s="712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2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2"/>
      <x:c r="AF274" s="23"/>
      <x:c r="AG274" s="712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2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2"/>
      <x:c r="AF275" s="23"/>
      <x:c r="AG275" s="712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2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2"/>
      <x:c r="AF276" s="23"/>
      <x:c r="AG276" s="712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2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2"/>
      <x:c r="AF277" s="23"/>
      <x:c r="AG277" s="712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2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2"/>
      <x:c r="AF278" s="23"/>
      <x:c r="AG278" s="712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2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2"/>
      <x:c r="AF279" s="23"/>
      <x:c r="AG279" s="712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2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2"/>
      <x:c r="AF280" s="23"/>
      <x:c r="AG280" s="712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2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2"/>
      <x:c r="AF281" s="23"/>
      <x:c r="AG281" s="712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2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2"/>
      <x:c r="AF282" s="23"/>
      <x:c r="AG282" s="712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2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2"/>
      <x:c r="AF283" s="23"/>
      <x:c r="AG283" s="712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2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2"/>
      <x:c r="AF284" s="23"/>
      <x:c r="AG284" s="712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2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2"/>
      <x:c r="AF285" s="23"/>
      <x:c r="AG285" s="712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2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2"/>
      <x:c r="AF286" s="23"/>
      <x:c r="AG286" s="712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2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2"/>
      <x:c r="AF287" s="23"/>
      <x:c r="AG287" s="712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2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2"/>
      <x:c r="AF288" s="23"/>
      <x:c r="AG288" s="712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2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2"/>
      <x:c r="AF289" s="23"/>
      <x:c r="AG289" s="712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2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2"/>
      <x:c r="AF290" s="23"/>
      <x:c r="AG290" s="712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2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2"/>
      <x:c r="AF291" s="23"/>
      <x:c r="AG291" s="712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2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2"/>
      <x:c r="AF292" s="23"/>
      <x:c r="AG292" s="712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2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2"/>
      <x:c r="AF293" s="23"/>
      <x:c r="AG293" s="712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2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2"/>
      <x:c r="AF294" s="23"/>
      <x:c r="AG294" s="712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2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2"/>
      <x:c r="AF295" s="23"/>
      <x:c r="AG295" s="712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2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2"/>
      <x:c r="AF296" s="23"/>
      <x:c r="AG296" s="712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2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2"/>
      <x:c r="AF297" s="23"/>
      <x:c r="AG297" s="712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2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2"/>
      <x:c r="AF298" s="23"/>
      <x:c r="AG298" s="712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2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2"/>
      <x:c r="AF299" s="23"/>
      <x:c r="AG299" s="712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2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2"/>
      <x:c r="AF300" s="23"/>
      <x:c r="AG300" s="712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2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2"/>
      <x:c r="AF301" s="23"/>
      <x:c r="AG301" s="712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2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2"/>
      <x:c r="AF302" s="23"/>
      <x:c r="AG302" s="712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2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2"/>
      <x:c r="AF303" s="23"/>
      <x:c r="AG303" s="712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2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2"/>
      <x:c r="AF304" s="23"/>
      <x:c r="AG304" s="712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2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2"/>
      <x:c r="AF305" s="23"/>
      <x:c r="AG305" s="712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2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2"/>
      <x:c r="AF306" s="23"/>
      <x:c r="AG306" s="712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2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2"/>
      <x:c r="AF307" s="23"/>
      <x:c r="AG307" s="712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2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2"/>
      <x:c r="AF308" s="23"/>
      <x:c r="AG308" s="712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2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2"/>
      <x:c r="AF309" s="23"/>
      <x:c r="AG309" s="712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2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2"/>
      <x:c r="AF310" s="23"/>
      <x:c r="AG310" s="712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2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2"/>
      <x:c r="AF311" s="23"/>
      <x:c r="AG311" s="712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2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2"/>
      <x:c r="AF312" s="23"/>
      <x:c r="AG312" s="712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2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2"/>
      <x:c r="AF313" s="23"/>
      <x:c r="AG313" s="712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2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2"/>
      <x:c r="AF314" s="23"/>
      <x:c r="AG314" s="712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2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2"/>
      <x:c r="AF315" s="23"/>
      <x:c r="AG315" s="712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2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2"/>
      <x:c r="AF316" s="23"/>
      <x:c r="AG316" s="712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2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2"/>
      <x:c r="AF317" s="23"/>
      <x:c r="AG317" s="712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2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2"/>
      <x:c r="AF318" s="23"/>
      <x:c r="AG318" s="712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2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2"/>
      <x:c r="AF319" s="23"/>
      <x:c r="AG319" s="712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2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2"/>
      <x:c r="AF320" s="23"/>
      <x:c r="AG320" s="712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2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2"/>
      <x:c r="AF321" s="23"/>
      <x:c r="AG321" s="712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2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2"/>
      <x:c r="AF322" s="23"/>
      <x:c r="AG322" s="712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2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2"/>
      <x:c r="AF323" s="23"/>
      <x:c r="AG323" s="712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2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2"/>
      <x:c r="AF324" s="23"/>
      <x:c r="AG324" s="712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2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2"/>
      <x:c r="AF325" s="23"/>
      <x:c r="AG325" s="712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2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2"/>
      <x:c r="AF326" s="23"/>
      <x:c r="AG326" s="712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2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2"/>
      <x:c r="AF327" s="23"/>
      <x:c r="AG327" s="712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2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2"/>
      <x:c r="AF328" s="23"/>
      <x:c r="AG328" s="712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2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2"/>
      <x:c r="AF329" s="23"/>
      <x:c r="AG329" s="712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2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2"/>
      <x:c r="AF330" s="23"/>
      <x:c r="AG330" s="712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2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2"/>
      <x:c r="AF331" s="23"/>
      <x:c r="AG331" s="712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2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2"/>
      <x:c r="AF332" s="23"/>
      <x:c r="AG332" s="712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2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2"/>
      <x:c r="AF333" s="23"/>
      <x:c r="AG333" s="712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2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2"/>
      <x:c r="AF334" s="23"/>
      <x:c r="AG334" s="712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2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2"/>
      <x:c r="AF335" s="23"/>
      <x:c r="AG335" s="712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2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2"/>
      <x:c r="AF336" s="23"/>
      <x:c r="AG336" s="712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2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2"/>
      <x:c r="AF337" s="23"/>
      <x:c r="AG337" s="712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2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2"/>
      <x:c r="AF338" s="23"/>
      <x:c r="AG338" s="712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2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2"/>
      <x:c r="AF339" s="23"/>
      <x:c r="AG339" s="712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2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2"/>
      <x:c r="AF340" s="23"/>
      <x:c r="AG340" s="712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2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2"/>
      <x:c r="AF341" s="23"/>
      <x:c r="AG341" s="712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2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2"/>
      <x:c r="AF342" s="23"/>
      <x:c r="AG342" s="712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2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2"/>
      <x:c r="AF343" s="23"/>
      <x:c r="AG343" s="712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2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2"/>
      <x:c r="AF344" s="23"/>
      <x:c r="AG344" s="712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2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2"/>
      <x:c r="AF345" s="23"/>
      <x:c r="AG345" s="712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2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2"/>
      <x:c r="AF346" s="23"/>
      <x:c r="AG346" s="712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2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2"/>
      <x:c r="AF347" s="23"/>
      <x:c r="AG347" s="712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2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2"/>
      <x:c r="AF348" s="23"/>
      <x:c r="AG348" s="712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2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2"/>
      <x:c r="AF349" s="23"/>
      <x:c r="AG349" s="712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2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2"/>
      <x:c r="AF350" s="23"/>
      <x:c r="AG350" s="712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2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2"/>
      <x:c r="AF351" s="23"/>
      <x:c r="AG351" s="712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2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2"/>
      <x:c r="AF352" s="23"/>
      <x:c r="AG352" s="712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2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2"/>
      <x:c r="AF353" s="23"/>
      <x:c r="AG353" s="712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2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2"/>
      <x:c r="AF354" s="23"/>
      <x:c r="AG354" s="712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2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2"/>
      <x:c r="AF355" s="23"/>
      <x:c r="AG355" s="712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2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2"/>
      <x:c r="AF356" s="23"/>
      <x:c r="AG356" s="712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2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2"/>
      <x:c r="AF357" s="23"/>
      <x:c r="AG357" s="712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2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2"/>
      <x:c r="AF358" s="23"/>
      <x:c r="AG358" s="712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2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2"/>
      <x:c r="AF359" s="23"/>
      <x:c r="AG359" s="712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2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2"/>
      <x:c r="AF360" s="23"/>
      <x:c r="AG360" s="712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2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2"/>
      <x:c r="AF361" s="23"/>
      <x:c r="AG361" s="712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2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2"/>
      <x:c r="AF362" s="23"/>
      <x:c r="AG362" s="712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2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2"/>
      <x:c r="AF363" s="23"/>
      <x:c r="AG363" s="712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2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2"/>
      <x:c r="AF364" s="23"/>
      <x:c r="AG364" s="712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2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2"/>
      <x:c r="AF365" s="23"/>
      <x:c r="AG365" s="712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2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2"/>
      <x:c r="AF366" s="23"/>
      <x:c r="AG366" s="712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2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2"/>
      <x:c r="AF367" s="23"/>
      <x:c r="AG367" s="712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2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2"/>
      <x:c r="AF368" s="23"/>
      <x:c r="AG368" s="712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2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2"/>
      <x:c r="AF369" s="23"/>
      <x:c r="AG369" s="712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2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2"/>
      <x:c r="AF370" s="23"/>
      <x:c r="AG370" s="712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2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2"/>
      <x:c r="AF371" s="23"/>
      <x:c r="AG371" s="712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2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2"/>
      <x:c r="AF372" s="23"/>
      <x:c r="AG372" s="712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2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2"/>
      <x:c r="AF373" s="23"/>
      <x:c r="AG373" s="712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2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2"/>
      <x:c r="AF374" s="23"/>
      <x:c r="AG374" s="712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2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2"/>
      <x:c r="AF375" s="23"/>
      <x:c r="AG375" s="712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2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2"/>
      <x:c r="AF376" s="23"/>
      <x:c r="AG376" s="712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2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2"/>
      <x:c r="AF377" s="23"/>
      <x:c r="AG377" s="712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2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2"/>
      <x:c r="AF378" s="23"/>
      <x:c r="AG378" s="712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2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2"/>
      <x:c r="AF379" s="23"/>
      <x:c r="AG379" s="712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2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2"/>
      <x:c r="AF380" s="23"/>
      <x:c r="AG380" s="712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2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2"/>
      <x:c r="AF381" s="23"/>
      <x:c r="AG381" s="712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2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2"/>
      <x:c r="AF382" s="23"/>
      <x:c r="AG382" s="712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2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2"/>
      <x:c r="AF383" s="23"/>
      <x:c r="AG383" s="712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2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2"/>
      <x:c r="AF384" s="23"/>
      <x:c r="AG384" s="712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2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2"/>
      <x:c r="AF385" s="23"/>
      <x:c r="AG385" s="712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2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2"/>
      <x:c r="AF386" s="23"/>
      <x:c r="AG386" s="712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2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2"/>
      <x:c r="AF387" s="23"/>
      <x:c r="AG387" s="712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2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2"/>
      <x:c r="AF388" s="23"/>
      <x:c r="AG388" s="712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2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2"/>
      <x:c r="AF389" s="23"/>
      <x:c r="AG389" s="712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2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2"/>
      <x:c r="AF390" s="23"/>
      <x:c r="AG390" s="712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2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2"/>
      <x:c r="AF391" s="23"/>
      <x:c r="AG391" s="712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2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2"/>
      <x:c r="AF392" s="23"/>
      <x:c r="AG392" s="712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2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2"/>
      <x:c r="AF393" s="23"/>
      <x:c r="AG393" s="712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2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2"/>
      <x:c r="AF394" s="23"/>
      <x:c r="AG394" s="712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2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2"/>
      <x:c r="AF395" s="23"/>
      <x:c r="AG395" s="712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2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2"/>
      <x:c r="AF396" s="23"/>
      <x:c r="AG396" s="712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2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2"/>
      <x:c r="AF397" s="23"/>
      <x:c r="AG397" s="712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2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2"/>
      <x:c r="AF398" s="23"/>
      <x:c r="AG398" s="712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2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2"/>
      <x:c r="AF399" s="23"/>
      <x:c r="AG399" s="712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2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2"/>
      <x:c r="AF400" s="23"/>
      <x:c r="AG400" s="712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2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2"/>
      <x:c r="AF401" s="23"/>
      <x:c r="AG401" s="712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2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2"/>
      <x:c r="AF402" s="23"/>
      <x:c r="AG402" s="712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2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2"/>
      <x:c r="AF403" s="23"/>
      <x:c r="AG403" s="712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2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2"/>
      <x:c r="AF404" s="23"/>
      <x:c r="AG404" s="712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2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2"/>
      <x:c r="AF405" s="23"/>
      <x:c r="AG405" s="712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2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2"/>
      <x:c r="AF406" s="23"/>
      <x:c r="AG406" s="712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2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2"/>
      <x:c r="AF407" s="23"/>
      <x:c r="AG407" s="712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2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2"/>
      <x:c r="AF408" s="23"/>
      <x:c r="AG408" s="712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2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2"/>
      <x:c r="AF409" s="23"/>
      <x:c r="AG409" s="712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2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2"/>
      <x:c r="AF410" s="23"/>
      <x:c r="AG410" s="712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2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2"/>
      <x:c r="AF411" s="23"/>
      <x:c r="AG411" s="712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2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2"/>
      <x:c r="AF412" s="23"/>
      <x:c r="AG412" s="712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2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2"/>
      <x:c r="AF413" s="23"/>
      <x:c r="AG413" s="712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2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2"/>
      <x:c r="AF414" s="23"/>
      <x:c r="AG414" s="712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2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2"/>
      <x:c r="AF415" s="23"/>
      <x:c r="AG415" s="712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2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2"/>
      <x:c r="AF416" s="23"/>
      <x:c r="AG416" s="712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2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2"/>
      <x:c r="AF417" s="23"/>
      <x:c r="AG417" s="712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2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2"/>
      <x:c r="AF418" s="23"/>
      <x:c r="AG418" s="712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2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2"/>
      <x:c r="AF419" s="23"/>
      <x:c r="AG419" s="712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2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2"/>
      <x:c r="AF420" s="23"/>
      <x:c r="AG420" s="712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2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2"/>
      <x:c r="AF421" s="23"/>
      <x:c r="AG421" s="712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2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2"/>
      <x:c r="AF422" s="23"/>
      <x:c r="AG422" s="712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2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2"/>
      <x:c r="AF423" s="23"/>
      <x:c r="AG423" s="712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2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2"/>
      <x:c r="AF424" s="23"/>
      <x:c r="AG424" s="712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2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2"/>
      <x:c r="AF425" s="23"/>
      <x:c r="AG425" s="712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2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2"/>
      <x:c r="AF426" s="23"/>
      <x:c r="AG426" s="712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2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2"/>
      <x:c r="AF427" s="23"/>
      <x:c r="AG427" s="712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2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2"/>
      <x:c r="AF428" s="23"/>
      <x:c r="AG428" s="712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2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2"/>
      <x:c r="AF429" s="23"/>
      <x:c r="AG429" s="712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2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2"/>
      <x:c r="AF430" s="23"/>
      <x:c r="AG430" s="712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2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2"/>
      <x:c r="AF431" s="23"/>
      <x:c r="AG431" s="712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2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2"/>
      <x:c r="AF432" s="23"/>
      <x:c r="AG432" s="712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2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2"/>
      <x:c r="AF433" s="23"/>
      <x:c r="AG433" s="712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2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2"/>
      <x:c r="AF434" s="23"/>
      <x:c r="AG434" s="712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2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2"/>
      <x:c r="AF435" s="23"/>
      <x:c r="AG435" s="712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2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2"/>
      <x:c r="AF436" s="23"/>
      <x:c r="AG436" s="712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2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2"/>
      <x:c r="AF437" s="23"/>
      <x:c r="AG437" s="712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2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2"/>
      <x:c r="AF438" s="23"/>
      <x:c r="AG438" s="712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2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2"/>
      <x:c r="AF439" s="23"/>
      <x:c r="AG439" s="712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2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2"/>
      <x:c r="AF440" s="23"/>
      <x:c r="AG440" s="712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2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2"/>
      <x:c r="AF441" s="23"/>
      <x:c r="AG441" s="712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2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2"/>
      <x:c r="AF442" s="23"/>
      <x:c r="AG442" s="712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2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2"/>
      <x:c r="AF443" s="23"/>
      <x:c r="AG443" s="712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2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2"/>
      <x:c r="AF444" s="23"/>
      <x:c r="AG444" s="712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2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2"/>
      <x:c r="AF445" s="23"/>
      <x:c r="AG445" s="712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2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2"/>
      <x:c r="AF446" s="23"/>
      <x:c r="AG446" s="712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2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2"/>
      <x:c r="AF447" s="23"/>
      <x:c r="AG447" s="712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2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2"/>
      <x:c r="AF448" s="23"/>
      <x:c r="AG448" s="712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2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2"/>
      <x:c r="AF449" s="23"/>
      <x:c r="AG449" s="712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2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2"/>
      <x:c r="AF450" s="23"/>
      <x:c r="AG450" s="712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2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2"/>
      <x:c r="AF451" s="23"/>
      <x:c r="AG451" s="712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2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2"/>
      <x:c r="AF452" s="23"/>
      <x:c r="AG452" s="712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2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2"/>
      <x:c r="AF453" s="23"/>
      <x:c r="AG453" s="712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2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2"/>
      <x:c r="AF454" s="23"/>
      <x:c r="AG454" s="712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2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2"/>
      <x:c r="AF455" s="23"/>
      <x:c r="AG455" s="712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2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2"/>
      <x:c r="AF456" s="23"/>
      <x:c r="AG456" s="712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2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2"/>
      <x:c r="AF457" s="23"/>
      <x:c r="AG457" s="712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2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2"/>
      <x:c r="AF458" s="23"/>
      <x:c r="AG458" s="712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2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2"/>
      <x:c r="AF459" s="23"/>
      <x:c r="AG459" s="712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2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2"/>
      <x:c r="AF460" s="23"/>
      <x:c r="AG460" s="712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2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2"/>
      <x:c r="AF461" s="23"/>
      <x:c r="AG461" s="712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2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2"/>
      <x:c r="AF462" s="23"/>
      <x:c r="AG462" s="712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2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2"/>
      <x:c r="AF463" s="23"/>
      <x:c r="AG463" s="712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2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2"/>
      <x:c r="AF464" s="23"/>
      <x:c r="AG464" s="712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2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2"/>
      <x:c r="AF465" s="23"/>
      <x:c r="AG465" s="712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2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2"/>
      <x:c r="AF466" s="23"/>
      <x:c r="AG466" s="712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2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2"/>
      <x:c r="AF467" s="23"/>
      <x:c r="AG467" s="712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2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2"/>
      <x:c r="AF468" s="23"/>
      <x:c r="AG468" s="712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2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2"/>
      <x:c r="AF469" s="23"/>
      <x:c r="AG469" s="712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2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2"/>
      <x:c r="AF470" s="23"/>
      <x:c r="AG470" s="712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2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2"/>
      <x:c r="AF471" s="23"/>
      <x:c r="AG471" s="712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2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2"/>
      <x:c r="AF472" s="23"/>
      <x:c r="AG472" s="712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2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2"/>
      <x:c r="AF473" s="23"/>
      <x:c r="AG473" s="712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2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2"/>
      <x:c r="AF474" s="23"/>
      <x:c r="AG474" s="712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2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2"/>
      <x:c r="AF475" s="23"/>
      <x:c r="AG475" s="712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2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2"/>
      <x:c r="AF476" s="23"/>
      <x:c r="AG476" s="712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2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2"/>
      <x:c r="AF477" s="23"/>
      <x:c r="AG477" s="712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2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2"/>
      <x:c r="AF478" s="23"/>
      <x:c r="AG478" s="712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2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2"/>
      <x:c r="AF479" s="23"/>
      <x:c r="AG479" s="712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2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2"/>
      <x:c r="AF480" s="23"/>
      <x:c r="AG480" s="712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2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2"/>
      <x:c r="AF481" s="23"/>
      <x:c r="AG481" s="712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2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2"/>
      <x:c r="AF482" s="23"/>
      <x:c r="AG482" s="712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2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2"/>
      <x:c r="AF483" s="23"/>
      <x:c r="AG483" s="712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2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2"/>
      <x:c r="AF484" s="23"/>
      <x:c r="AG484" s="712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2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2"/>
      <x:c r="AF485" s="23"/>
      <x:c r="AG485" s="712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2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2"/>
      <x:c r="AF486" s="23"/>
      <x:c r="AG486" s="712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2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2"/>
      <x:c r="AF487" s="23"/>
      <x:c r="AG487" s="712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2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2"/>
      <x:c r="AF488" s="23"/>
      <x:c r="AG488" s="712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2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2"/>
      <x:c r="AF489" s="23"/>
      <x:c r="AG489" s="712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2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2"/>
      <x:c r="AF490" s="23"/>
      <x:c r="AG490" s="712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2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2"/>
      <x:c r="AF491" s="23"/>
      <x:c r="AG491" s="712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2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2"/>
      <x:c r="AF492" s="23"/>
      <x:c r="AG492" s="712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2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2"/>
      <x:c r="AF493" s="23"/>
      <x:c r="AG493" s="712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2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2"/>
      <x:c r="AF494" s="23"/>
      <x:c r="AG494" s="712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2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2"/>
      <x:c r="AF495" s="23"/>
      <x:c r="AG495" s="712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2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2"/>
      <x:c r="AF496" s="23"/>
      <x:c r="AG496" s="712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2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2"/>
      <x:c r="AF497" s="23"/>
      <x:c r="AG497" s="712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2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2"/>
      <x:c r="AF498" s="23"/>
      <x:c r="AG498" s="712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2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2"/>
      <x:c r="AF499" s="23"/>
      <x:c r="AG499" s="712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2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2"/>
      <x:c r="AF500" s="23"/>
      <x:c r="AG500" s="712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2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2"/>
      <x:c r="AF501" s="23"/>
      <x:c r="AG501" s="712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2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2"/>
      <x:c r="AF502" s="23"/>
      <x:c r="AG502" s="712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2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2"/>
      <x:c r="AF503" s="23"/>
      <x:c r="AG503" s="712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2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2"/>
      <x:c r="AF504" s="23"/>
      <x:c r="AG504" s="712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2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2"/>
      <x:c r="AF505" s="23"/>
      <x:c r="AG505" s="712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2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2"/>
      <x:c r="AF506" s="23"/>
      <x:c r="AG506" s="712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2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2"/>
      <x:c r="AF507" s="23"/>
      <x:c r="AG507" s="712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2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2"/>
      <x:c r="AF508" s="23"/>
      <x:c r="AG508" s="712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2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2"/>
      <x:c r="AF509" s="23"/>
      <x:c r="AG509" s="712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2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2"/>
      <x:c r="AF510" s="23"/>
      <x:c r="AG510" s="712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2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2"/>
      <x:c r="AF511" s="23"/>
      <x:c r="AG511" s="712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2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2"/>
      <x:c r="AF512" s="23"/>
      <x:c r="AG512" s="712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2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2"/>
      <x:c r="AF513" s="23"/>
      <x:c r="AG513" s="712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2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2"/>
      <x:c r="AF514" s="23"/>
      <x:c r="AG514" s="712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2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2"/>
      <x:c r="AF515" s="23"/>
      <x:c r="AG515" s="712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2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2"/>
      <x:c r="AF516" s="23"/>
      <x:c r="AG516" s="712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2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2"/>
      <x:c r="AF517" s="23"/>
      <x:c r="AG517" s="712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2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2"/>
      <x:c r="AF518" s="23"/>
      <x:c r="AG518" s="712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2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2"/>
      <x:c r="AF519" s="23"/>
      <x:c r="AG519" s="712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2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2"/>
      <x:c r="AF520" s="23"/>
      <x:c r="AG520" s="712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2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2"/>
      <x:c r="AF521" s="23"/>
      <x:c r="AG521" s="712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2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2"/>
      <x:c r="AF522" s="23"/>
      <x:c r="AG522" s="712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2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2"/>
      <x:c r="AF523" s="23"/>
      <x:c r="AG523" s="712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2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2"/>
      <x:c r="AF524" s="23"/>
      <x:c r="AG524" s="712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2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2"/>
      <x:c r="AF525" s="23"/>
      <x:c r="AG525" s="712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2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2"/>
      <x:c r="AF526" s="23"/>
      <x:c r="AG526" s="712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2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2"/>
      <x:c r="AF527" s="23"/>
      <x:c r="AG527" s="712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2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2"/>
      <x:c r="AF528" s="23"/>
      <x:c r="AG528" s="712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2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2"/>
      <x:c r="AF529" s="23"/>
      <x:c r="AG529" s="712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2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2"/>
      <x:c r="AF530" s="23"/>
      <x:c r="AG530" s="712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2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2"/>
      <x:c r="AF531" s="23"/>
      <x:c r="AG531" s="712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2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2"/>
      <x:c r="AF532" s="23"/>
      <x:c r="AG532" s="712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2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2"/>
      <x:c r="AF533" s="23"/>
      <x:c r="AG533" s="712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2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2"/>
      <x:c r="AF534" s="23"/>
      <x:c r="AG534" s="712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2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2"/>
      <x:c r="AF535" s="23"/>
      <x:c r="AG535" s="712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2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2"/>
      <x:c r="AF536" s="23"/>
      <x:c r="AG536" s="712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2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2"/>
      <x:c r="AF537" s="23"/>
      <x:c r="AG537" s="712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2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2"/>
      <x:c r="AF538" s="23"/>
      <x:c r="AG538" s="712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2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2"/>
      <x:c r="AF539" s="23"/>
      <x:c r="AG539" s="712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2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2"/>
      <x:c r="AF540" s="23"/>
      <x:c r="AG540" s="712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2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2"/>
      <x:c r="AF541" s="23"/>
      <x:c r="AG541" s="712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2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2"/>
      <x:c r="AF542" s="23"/>
      <x:c r="AG542" s="712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2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2"/>
      <x:c r="AF543" s="23"/>
      <x:c r="AG543" s="712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2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2"/>
      <x:c r="AF544" s="23"/>
      <x:c r="AG544" s="712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2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2"/>
      <x:c r="AF545" s="23"/>
      <x:c r="AG545" s="712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2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2"/>
      <x:c r="AF546" s="23"/>
      <x:c r="AG546" s="712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2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2"/>
      <x:c r="AF547" s="23"/>
      <x:c r="AG547" s="712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2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2"/>
      <x:c r="AF548" s="23"/>
      <x:c r="AG548" s="712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2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2"/>
      <x:c r="AF549" s="23"/>
      <x:c r="AG549" s="712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2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2"/>
      <x:c r="AF550" s="23"/>
      <x:c r="AG550" s="712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2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2"/>
      <x:c r="AF551" s="23"/>
      <x:c r="AG551" s="712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2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2"/>
      <x:c r="AF552" s="23"/>
      <x:c r="AG552" s="712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2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2"/>
      <x:c r="AF553" s="23"/>
      <x:c r="AG553" s="712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2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2"/>
      <x:c r="AF554" s="23"/>
      <x:c r="AG554" s="712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2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2"/>
      <x:c r="AF555" s="23"/>
      <x:c r="AG555" s="712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2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2"/>
      <x:c r="AF556" s="23"/>
      <x:c r="AG556" s="712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2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2"/>
      <x:c r="AF557" s="23"/>
      <x:c r="AG557" s="712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2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2"/>
      <x:c r="AF558" s="23"/>
      <x:c r="AG558" s="712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2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2"/>
      <x:c r="AF559" s="23"/>
      <x:c r="AG559" s="712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2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2"/>
      <x:c r="AF560" s="23"/>
      <x:c r="AG560" s="712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2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2"/>
      <x:c r="AF561" s="23"/>
      <x:c r="AG561" s="712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2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2"/>
      <x:c r="AF562" s="23"/>
      <x:c r="AG562" s="712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2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2"/>
      <x:c r="AF563" s="23"/>
      <x:c r="AG563" s="712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2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2"/>
      <x:c r="AF564" s="23"/>
      <x:c r="AG564" s="712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2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2"/>
      <x:c r="AF565" s="23"/>
      <x:c r="AG565" s="712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2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2"/>
      <x:c r="AF566" s="23"/>
      <x:c r="AG566" s="712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2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2"/>
      <x:c r="AF567" s="23"/>
      <x:c r="AG567" s="712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2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2"/>
      <x:c r="AF568" s="23"/>
      <x:c r="AG568" s="712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2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2"/>
      <x:c r="AF569" s="23"/>
      <x:c r="AG569" s="712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2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2"/>
      <x:c r="AF570" s="23"/>
      <x:c r="AG570" s="712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2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2"/>
      <x:c r="AF571" s="23"/>
      <x:c r="AG571" s="712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2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2"/>
      <x:c r="AF572" s="23"/>
      <x:c r="AG572" s="712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2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2"/>
      <x:c r="AF573" s="23"/>
      <x:c r="AG573" s="712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2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2"/>
      <x:c r="AF574" s="23"/>
      <x:c r="AG574" s="712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2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2"/>
      <x:c r="AF575" s="23"/>
      <x:c r="AG575" s="712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2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2"/>
      <x:c r="AF576" s="23"/>
      <x:c r="AG576" s="712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2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2"/>
      <x:c r="AF577" s="23"/>
      <x:c r="AG577" s="712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2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2"/>
      <x:c r="AF578" s="23"/>
      <x:c r="AG578" s="712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2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2"/>
      <x:c r="AF579" s="23"/>
      <x:c r="AG579" s="712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2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2"/>
      <x:c r="AF580" s="23"/>
      <x:c r="AG580" s="712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2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2"/>
      <x:c r="AF581" s="23"/>
      <x:c r="AG581" s="712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2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2"/>
      <x:c r="AF582" s="23"/>
      <x:c r="AG582" s="712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2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2"/>
      <x:c r="AF583" s="23"/>
      <x:c r="AG583" s="712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2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2"/>
      <x:c r="AF584" s="23"/>
      <x:c r="AG584" s="712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2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2"/>
      <x:c r="AF585" s="23"/>
      <x:c r="AG585" s="712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2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2"/>
      <x:c r="AF586" s="23"/>
      <x:c r="AG586" s="712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2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2"/>
      <x:c r="AF587" s="23"/>
      <x:c r="AG587" s="712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2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2"/>
      <x:c r="AF588" s="23"/>
      <x:c r="AG588" s="712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2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2"/>
      <x:c r="AF589" s="23"/>
      <x:c r="AG589" s="712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2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2"/>
      <x:c r="AF590" s="23"/>
      <x:c r="AG590" s="712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2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2"/>
      <x:c r="AF591" s="23"/>
      <x:c r="AG591" s="712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2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2"/>
      <x:c r="AF592" s="23"/>
      <x:c r="AG592" s="712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2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2"/>
      <x:c r="AF593" s="23"/>
      <x:c r="AG593" s="712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2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2"/>
      <x:c r="AF594" s="23"/>
      <x:c r="AG594" s="712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2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2"/>
      <x:c r="AF595" s="23"/>
      <x:c r="AG595" s="712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2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2"/>
      <x:c r="AF596" s="23"/>
      <x:c r="AG596" s="712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2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2"/>
      <x:c r="AF597" s="23"/>
      <x:c r="AG597" s="712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2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2"/>
      <x:c r="AF598" s="23"/>
      <x:c r="AG598" s="712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2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2"/>
      <x:c r="AF599" s="23"/>
      <x:c r="AG599" s="712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2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2"/>
      <x:c r="AF600" s="23"/>
      <x:c r="AG600" s="712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2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2"/>
      <x:c r="AF601" s="23"/>
      <x:c r="AG601" s="712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2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2"/>
      <x:c r="AF602" s="23"/>
      <x:c r="AG602" s="712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2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2"/>
      <x:c r="AF603" s="23"/>
      <x:c r="AG603" s="712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2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2"/>
      <x:c r="AF604" s="23"/>
      <x:c r="AG604" s="712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2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2"/>
      <x:c r="AF605" s="23"/>
      <x:c r="AG605" s="712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2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2"/>
      <x:c r="AF606" s="23"/>
      <x:c r="AG606" s="712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2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2"/>
      <x:c r="AF607" s="23"/>
      <x:c r="AG607" s="712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2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2"/>
      <x:c r="AF608" s="23"/>
      <x:c r="AG608" s="712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2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2"/>
      <x:c r="AF609" s="23"/>
      <x:c r="AG609" s="712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2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2"/>
      <x:c r="AF610" s="23"/>
      <x:c r="AG610" s="712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2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2"/>
      <x:c r="AF611" s="23"/>
      <x:c r="AG611" s="712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2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2"/>
      <x:c r="AF612" s="23"/>
      <x:c r="AG612" s="712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2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2"/>
      <x:c r="AF613" s="23"/>
      <x:c r="AG613" s="712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2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2"/>
      <x:c r="AF614" s="23"/>
      <x:c r="AG614" s="712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2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2"/>
      <x:c r="AF615" s="23"/>
      <x:c r="AG615" s="712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2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2"/>
      <x:c r="AF616" s="23"/>
      <x:c r="AG616" s="712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2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2"/>
      <x:c r="AF617" s="23"/>
      <x:c r="AG617" s="712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2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2"/>
      <x:c r="AF618" s="23"/>
      <x:c r="AG618" s="712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2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2"/>
      <x:c r="AF619" s="23"/>
      <x:c r="AG619" s="712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2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2"/>
      <x:c r="AF620" s="23"/>
      <x:c r="AG620" s="712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2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2"/>
      <x:c r="AF621" s="23"/>
      <x:c r="AG621" s="712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2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2"/>
      <x:c r="AF622" s="23"/>
      <x:c r="AG622" s="712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2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2"/>
      <x:c r="AF623" s="23"/>
      <x:c r="AG623" s="712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2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2"/>
      <x:c r="AF624" s="23"/>
      <x:c r="AG624" s="712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2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2"/>
      <x:c r="AF625" s="23"/>
      <x:c r="AG625" s="712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2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2"/>
      <x:c r="AF626" s="23"/>
      <x:c r="AG626" s="712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2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2"/>
      <x:c r="AF627" s="23"/>
      <x:c r="AG627" s="712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2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2"/>
      <x:c r="AF628" s="23"/>
      <x:c r="AG628" s="712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2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2"/>
      <x:c r="AF629" s="23"/>
      <x:c r="AG629" s="712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2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2"/>
      <x:c r="AF630" s="23"/>
      <x:c r="AG630" s="712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2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2"/>
      <x:c r="AF631" s="23"/>
      <x:c r="AG631" s="712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2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2"/>
      <x:c r="AF632" s="23"/>
      <x:c r="AG632" s="712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2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2"/>
      <x:c r="AF633" s="23"/>
      <x:c r="AG633" s="712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2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2"/>
      <x:c r="AF634" s="23"/>
      <x:c r="AG634" s="712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2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2"/>
      <x:c r="AF635" s="23"/>
      <x:c r="AG635" s="712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2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2"/>
      <x:c r="AF636" s="23"/>
      <x:c r="AG636" s="712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2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2"/>
      <x:c r="AF637" s="23"/>
      <x:c r="AG637" s="712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2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2"/>
      <x:c r="AF638" s="23"/>
      <x:c r="AG638" s="712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2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2"/>
      <x:c r="AF639" s="23"/>
      <x:c r="AG639" s="712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2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2"/>
      <x:c r="AF640" s="23"/>
      <x:c r="AG640" s="712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2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2"/>
      <x:c r="AF641" s="23"/>
      <x:c r="AG641" s="712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2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2"/>
      <x:c r="AF642" s="23"/>
      <x:c r="AG642" s="712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2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2"/>
      <x:c r="AF643" s="23"/>
      <x:c r="AG643" s="712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2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2"/>
      <x:c r="AF644" s="23"/>
      <x:c r="AG644" s="712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2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2"/>
      <x:c r="AF645" s="23"/>
      <x:c r="AG645" s="712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2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2"/>
      <x:c r="AF646" s="23"/>
      <x:c r="AG646" s="712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2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2"/>
      <x:c r="AF647" s="23"/>
      <x:c r="AG647" s="712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2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2"/>
      <x:c r="AF648" s="23"/>
      <x:c r="AG648" s="712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2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2"/>
      <x:c r="AF649" s="23"/>
      <x:c r="AG649" s="712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2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2"/>
      <x:c r="AF650" s="23"/>
      <x:c r="AG650" s="712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2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2"/>
      <x:c r="AF651" s="23"/>
      <x:c r="AG651" s="712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2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2"/>
      <x:c r="AF652" s="23"/>
      <x:c r="AG652" s="712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2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2"/>
      <x:c r="AF653" s="23"/>
      <x:c r="AG653" s="712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2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2"/>
      <x:c r="AF654" s="23"/>
      <x:c r="AG654" s="712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2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2"/>
      <x:c r="AF655" s="23"/>
      <x:c r="AG655" s="712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2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2"/>
      <x:c r="AF656" s="23"/>
      <x:c r="AG656" s="712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2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2"/>
      <x:c r="AF657" s="23"/>
      <x:c r="AG657" s="712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2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2"/>
      <x:c r="AF658" s="23"/>
      <x:c r="AG658" s="712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2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2"/>
      <x:c r="AF659" s="23"/>
      <x:c r="AG659" s="712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2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2"/>
      <x:c r="AF660" s="23"/>
      <x:c r="AG660" s="712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2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2"/>
      <x:c r="AF661" s="23"/>
      <x:c r="AG661" s="712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2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2"/>
      <x:c r="AF662" s="23"/>
      <x:c r="AG662" s="712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2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2"/>
      <x:c r="AF663" s="23"/>
      <x:c r="AG663" s="712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2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2"/>
      <x:c r="AF664" s="23"/>
      <x:c r="AG664" s="712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2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2"/>
      <x:c r="AF665" s="23"/>
      <x:c r="AG665" s="712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2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2"/>
      <x:c r="AF666" s="23"/>
      <x:c r="AG666" s="712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2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2"/>
      <x:c r="AF667" s="23"/>
      <x:c r="AG667" s="712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2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2"/>
      <x:c r="AF668" s="23"/>
      <x:c r="AG668" s="712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2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2"/>
      <x:c r="AF669" s="23"/>
      <x:c r="AG669" s="712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2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2"/>
      <x:c r="AF670" s="23"/>
      <x:c r="AG670" s="712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2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2"/>
      <x:c r="AF671" s="23"/>
      <x:c r="AG671" s="712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2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2"/>
      <x:c r="AF672" s="23"/>
      <x:c r="AG672" s="712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2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2"/>
      <x:c r="AF673" s="23"/>
      <x:c r="AG673" s="712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2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2"/>
      <x:c r="AF674" s="23"/>
      <x:c r="AG674" s="712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2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2"/>
      <x:c r="AF675" s="23"/>
      <x:c r="AG675" s="712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2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2"/>
      <x:c r="AF676" s="23"/>
      <x:c r="AG676" s="712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2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2"/>
      <x:c r="AF677" s="23"/>
      <x:c r="AG677" s="712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2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2"/>
      <x:c r="AF678" s="23"/>
      <x:c r="AG678" s="712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2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2"/>
      <x:c r="AF679" s="23"/>
      <x:c r="AG679" s="712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2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2"/>
      <x:c r="AF680" s="23"/>
      <x:c r="AG680" s="712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2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2"/>
      <x:c r="AF681" s="23"/>
      <x:c r="AG681" s="712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2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2"/>
      <x:c r="AF682" s="23"/>
      <x:c r="AG682" s="712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2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2"/>
      <x:c r="AF683" s="23"/>
      <x:c r="AG683" s="712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2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2"/>
      <x:c r="AF684" s="23"/>
      <x:c r="AG684" s="712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2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2"/>
      <x:c r="AF685" s="23"/>
      <x:c r="AG685" s="712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2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2"/>
      <x:c r="AF686" s="23"/>
      <x:c r="AG686" s="712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2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2"/>
      <x:c r="AF687" s="23"/>
      <x:c r="AG687" s="712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2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2"/>
      <x:c r="AF688" s="23"/>
      <x:c r="AG688" s="712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2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2"/>
      <x:c r="AF689" s="23"/>
      <x:c r="AG689" s="712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2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2"/>
      <x:c r="AF690" s="23"/>
      <x:c r="AG690" s="712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2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2"/>
      <x:c r="AF691" s="23"/>
      <x:c r="AG691" s="712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2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2"/>
      <x:c r="AF692" s="23"/>
      <x:c r="AG692" s="712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2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2"/>
      <x:c r="AF693" s="23"/>
      <x:c r="AG693" s="712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2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2"/>
      <x:c r="AF694" s="23"/>
      <x:c r="AG694" s="712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2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2"/>
      <x:c r="AF695" s="23"/>
      <x:c r="AG695" s="712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2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2"/>
      <x:c r="AF696" s="23"/>
      <x:c r="AG696" s="712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2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2"/>
      <x:c r="AF697" s="23"/>
      <x:c r="AG697" s="712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2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2"/>
      <x:c r="AF698" s="23"/>
      <x:c r="AG698" s="712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2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2"/>
      <x:c r="AF699" s="23"/>
      <x:c r="AG699" s="712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2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2"/>
      <x:c r="AF700" s="23"/>
      <x:c r="AG700" s="712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2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2"/>
      <x:c r="AF701" s="23"/>
      <x:c r="AG701" s="712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2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2"/>
      <x:c r="AF702" s="23"/>
      <x:c r="AG702" s="712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2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2"/>
      <x:c r="AF703" s="23"/>
      <x:c r="AG703" s="712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2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2"/>
      <x:c r="AF704" s="23"/>
      <x:c r="AG704" s="712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2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2"/>
      <x:c r="AF705" s="23"/>
      <x:c r="AG705" s="712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2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2"/>
      <x:c r="AF706" s="23"/>
      <x:c r="AG706" s="712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2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2"/>
      <x:c r="AF707" s="23"/>
      <x:c r="AG707" s="712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2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2"/>
      <x:c r="AF708" s="23"/>
      <x:c r="AG708" s="712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2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2"/>
      <x:c r="AF709" s="23"/>
      <x:c r="AG709" s="712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2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2"/>
      <x:c r="AF710" s="23"/>
      <x:c r="AG710" s="712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2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2"/>
      <x:c r="AF711" s="23"/>
      <x:c r="AG711" s="712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2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2"/>
      <x:c r="AF712" s="23"/>
      <x:c r="AG712" s="712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2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2"/>
      <x:c r="AF713" s="23"/>
      <x:c r="AG713" s="712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2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2"/>
      <x:c r="AF714" s="23"/>
      <x:c r="AG714" s="712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2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2"/>
      <x:c r="AF715" s="23"/>
      <x:c r="AG715" s="712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2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2"/>
      <x:c r="AF716" s="23"/>
      <x:c r="AG716" s="712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2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2"/>
      <x:c r="AF717" s="23"/>
      <x:c r="AG717" s="712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2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2"/>
      <x:c r="AF718" s="23"/>
      <x:c r="AG718" s="712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2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2"/>
      <x:c r="AF719" s="23"/>
      <x:c r="AG719" s="712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2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2"/>
      <x:c r="AF720" s="23"/>
      <x:c r="AG720" s="712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2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2"/>
      <x:c r="AF721" s="23"/>
      <x:c r="AG721" s="712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2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2"/>
      <x:c r="AF722" s="23"/>
      <x:c r="AG722" s="712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2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2"/>
      <x:c r="AF723" s="23"/>
      <x:c r="AG723" s="712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2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2"/>
      <x:c r="AF724" s="23"/>
      <x:c r="AG724" s="712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2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2"/>
      <x:c r="AF725" s="23"/>
      <x:c r="AG725" s="712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2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2"/>
      <x:c r="AF726" s="23"/>
      <x:c r="AG726" s="712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2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2"/>
      <x:c r="AF727" s="23"/>
      <x:c r="AG727" s="712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2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2"/>
      <x:c r="AF728" s="23"/>
      <x:c r="AG728" s="712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2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2"/>
      <x:c r="AF729" s="23"/>
      <x:c r="AG729" s="712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2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2"/>
      <x:c r="AF730" s="23"/>
      <x:c r="AG730" s="712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2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2"/>
      <x:c r="AF731" s="23"/>
      <x:c r="AG731" s="712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2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2"/>
      <x:c r="AF732" s="23"/>
      <x:c r="AG732" s="712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2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2"/>
      <x:c r="AF733" s="23"/>
      <x:c r="AG733" s="712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2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2"/>
      <x:c r="AF734" s="23"/>
      <x:c r="AG734" s="712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2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2"/>
      <x:c r="AF735" s="23"/>
      <x:c r="AG735" s="712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2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2"/>
      <x:c r="AF736" s="23"/>
      <x:c r="AG736" s="712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2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2"/>
      <x:c r="AF737" s="23"/>
      <x:c r="AG737" s="712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2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2"/>
      <x:c r="AF738" s="23"/>
      <x:c r="AG738" s="712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2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2"/>
      <x:c r="AF739" s="23"/>
      <x:c r="AG739" s="712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2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2"/>
      <x:c r="AF740" s="23"/>
      <x:c r="AG740" s="712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2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2"/>
      <x:c r="AF741" s="23"/>
      <x:c r="AG741" s="712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2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2"/>
      <x:c r="AF742" s="23"/>
      <x:c r="AG742" s="712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2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2"/>
      <x:c r="AF743" s="23"/>
      <x:c r="AG743" s="712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2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2"/>
      <x:c r="AF744" s="23"/>
      <x:c r="AG744" s="712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2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2"/>
      <x:c r="AF745" s="23"/>
      <x:c r="AG745" s="712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2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2"/>
      <x:c r="AF746" s="23"/>
      <x:c r="AG746" s="712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2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2"/>
      <x:c r="AF747" s="23"/>
      <x:c r="AG747" s="712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2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2"/>
      <x:c r="AF748" s="23"/>
      <x:c r="AG748" s="712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2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2"/>
      <x:c r="AF749" s="23"/>
      <x:c r="AG749" s="712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2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2"/>
      <x:c r="AF750" s="23"/>
      <x:c r="AG750" s="712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2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2"/>
      <x:c r="AF751" s="23"/>
      <x:c r="AG751" s="712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2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2"/>
      <x:c r="AF752" s="23"/>
      <x:c r="AG752" s="712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2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2"/>
      <x:c r="AF753" s="23"/>
      <x:c r="AG753" s="712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2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2"/>
      <x:c r="AF754" s="23"/>
      <x:c r="AG754" s="712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宏1</vt:lpstr>
      <vt:lpstr>检测报告封面</vt:lpstr>
      <vt:lpstr>csfX8J</vt:lpstr>
      <vt:lpstr>说明</vt:lpstr>
      <vt:lpstr>检测报告</vt:lpstr>
      <vt:lpstr>机组效率-换算</vt:lpstr>
      <vt:lpstr>声明</vt:lpstr>
      <vt:lpstr>数据导入</vt:lpstr>
      <vt:lpstr>宏1!Print_Area</vt:lpstr>
      <vt:lpstr>宏1!Print_Titles</vt:lpstr>
      <vt:lpstr>检测报告封面!Print_Area</vt:lpstr>
      <vt:lpstr>检测报告封面!Print_Titles</vt:lpstr>
      <vt:lpstr>csfX8J!Print_Area</vt:lpstr>
      <vt:lpstr>csfX8J!Print_Titles</vt:lpstr>
      <vt:lpstr>说明!Print_Area</vt:lpstr>
      <vt:lpstr>说明!Print_Titles</vt:lpstr>
      <vt:lpstr>检测报告!Print_Area</vt:lpstr>
      <vt:lpstr>检测报告!Print_Titles</vt:lpstr>
      <vt:lpstr>机组效率-换算!Print_Area</vt:lpstr>
      <vt:lpstr>机组效率-换算!Print_Titles</vt:lpstr>
      <vt:lpstr>声明!Print_Area</vt:lpstr>
      <vt:lpstr>声明!Print_Titles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2024/09/06 09:48:02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